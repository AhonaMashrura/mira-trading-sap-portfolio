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E4C5C1D7-5C7A-4AD9-A8EA-9ABAE6FFDD14}" xr6:coauthVersionLast="47" xr6:coauthVersionMax="47" xr10:uidLastSave="{00000000-0000-0000-0000-000000000000}"/>
  <bookViews>
    <workbookView xWindow="-110" yWindow="-110" windowWidth="19420" windowHeight="10300" xr2:uid="{A3E670CB-125B-4833-8879-7701E2E09C2A}"/>
  </bookViews>
  <sheets>
    <sheet name="Sheet2" sheetId="2" r:id="rId1"/>
  </sheets>
  <externalReferences>
    <externalReference r:id="rId2"/>
  </externalReferences>
  <definedNames>
    <definedName name="SACTable1" comment="DO NOT EDIT OR DELETE">Sheet2!$A$1:$E$5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2" l="1"/>
  <c r="H13" i="2"/>
  <c r="G13" i="2"/>
  <c r="F13" i="2"/>
  <c r="E13" i="2"/>
  <c r="D13" i="2"/>
  <c r="I11" i="2"/>
  <c r="H11" i="2"/>
  <c r="G11" i="2"/>
  <c r="F11" i="2"/>
  <c r="E11" i="2"/>
  <c r="D11" i="2"/>
  <c r="I10" i="2"/>
  <c r="H10" i="2"/>
  <c r="G10" i="2"/>
  <c r="F10" i="2"/>
  <c r="E10" i="2"/>
  <c r="D10" i="2"/>
  <c r="I9" i="2"/>
  <c r="H9" i="2"/>
  <c r="G9" i="2"/>
  <c r="F9" i="2"/>
  <c r="E9" i="2"/>
  <c r="D9" i="2"/>
  <c r="I8" i="2"/>
  <c r="H8" i="2"/>
  <c r="G8" i="2"/>
  <c r="F8" i="2"/>
  <c r="E8" i="2"/>
  <c r="D8" i="2"/>
  <c r="I7" i="2"/>
  <c r="H7" i="2"/>
  <c r="G7" i="2"/>
  <c r="F7" i="2"/>
  <c r="E7" i="2"/>
  <c r="D7" i="2"/>
  <c r="I5" i="2"/>
  <c r="H5" i="2"/>
  <c r="G5" i="2"/>
  <c r="F5" i="2"/>
  <c r="E5" i="2"/>
  <c r="D5" i="2"/>
</calcChain>
</file>

<file path=xl/sharedStrings.xml><?xml version="1.0" encoding="utf-8"?>
<sst xmlns="http://schemas.openxmlformats.org/spreadsheetml/2006/main" count="42" uniqueCount="20">
  <si>
    <t>Measures</t>
  </si>
  <si>
    <t>Version</t>
  </si>
  <si>
    <t>CostCenter</t>
  </si>
  <si>
    <t xml:space="preserve"> Mira Trading - Financial Model</t>
  </si>
  <si>
    <t/>
  </si>
  <si>
    <t>Category</t>
  </si>
  <si>
    <t>Amount</t>
  </si>
  <si>
    <t>Jan</t>
  </si>
  <si>
    <t>Feb</t>
  </si>
  <si>
    <t>Mar</t>
  </si>
  <si>
    <t>Apr</t>
  </si>
  <si>
    <t>May</t>
  </si>
  <si>
    <t>Jun</t>
  </si>
  <si>
    <t>CC-100</t>
  </si>
  <si>
    <t>Revenue</t>
  </si>
  <si>
    <t>COGS</t>
  </si>
  <si>
    <t>Opex</t>
  </si>
  <si>
    <t>CC-200</t>
  </si>
  <si>
    <t>CC-300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</si>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</sst>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;\(#,##0\)"/>
  </numFmts>
  <fonts count="15" x14ac:knownFonts="1">
    <font>
      <sz val="11"/>
      <color theme="1"/>
      <name val="Aptos Narrow"/>
      <family val="2"/>
      <scheme val="minor"/>
    </font>
    <font>
      <sz val="11"/>
      <color rgb="FF999999"/>
      <name val="Calibri"/>
      <family val="2"/>
    </font>
    <font>
      <i/>
      <sz val="11"/>
      <color rgb="FF999999"/>
      <name val="Calibri"/>
      <family val="2"/>
    </font>
    <font>
      <sz val="11"/>
      <color rgb="FF333333"/>
      <name val="Calibri"/>
      <family val="2"/>
    </font>
    <font>
      <i/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1"/>
      <color rgb="FF999999"/>
      <name val="Calibri"/>
      <family val="2"/>
    </font>
    <font>
      <sz val="11"/>
      <color rgb="FF58595B"/>
      <name val="Calibri"/>
      <family val="2"/>
    </font>
    <font>
      <sz val="12"/>
      <color rgb="FF58595B"/>
      <name val="Calibri"/>
      <family val="2"/>
    </font>
    <font>
      <i/>
      <sz val="12"/>
      <color rgb="FF595959"/>
      <name val="Calibri"/>
      <family val="2"/>
    </font>
    <font>
      <sz val="12"/>
      <color rgb="FFFFFFFF"/>
      <name val="Calibri"/>
      <family val="2"/>
    </font>
    <font>
      <b/>
      <sz val="11"/>
      <color rgb="FF2B7D2B"/>
      <name val="Calibri"/>
      <family val="2"/>
    </font>
    <font>
      <b/>
      <sz val="11"/>
      <color rgb="FFE78C07"/>
      <name val="Calibri"/>
      <family val="2"/>
    </font>
    <font>
      <b/>
      <sz val="11"/>
      <color rgb="FFBB0000"/>
      <name val="Calibri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7E7"/>
      </patternFill>
    </fill>
    <fill>
      <patternFill patternType="solid">
        <fgColor rgb="FFFBE7AA"/>
      </patternFill>
    </fill>
    <fill>
      <patternFill patternType="solid">
        <fgColor rgb="FF9CD7FF"/>
      </patternFill>
    </fill>
    <fill>
      <patternFill patternType="solid">
        <fgColor rgb="FFE4F6E4"/>
      </patternFill>
    </fill>
    <fill>
      <patternFill patternType="solid">
        <fgColor rgb="FFFEF0DB"/>
      </patternFill>
    </fill>
    <fill>
      <patternFill patternType="solid">
        <fgColor rgb="FFFFE4E4"/>
      </patternFill>
    </fill>
    <fill>
      <patternFill patternType="solid">
        <fgColor rgb="FFECECEC"/>
      </patternFill>
    </fill>
    <fill>
      <patternFill patternType="solid">
        <fgColor rgb="FFF1F1F1"/>
      </patternFill>
    </fill>
    <fill>
      <patternFill patternType="solid">
        <fgColor rgb="FFF5F5F5"/>
      </patternFill>
    </fill>
    <fill>
      <patternFill patternType="solid">
        <fgColor rgb="FFFAFAFA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8A8A8"/>
      </bottom>
      <diagonal/>
    </border>
    <border>
      <left/>
      <right/>
      <top style="thin">
        <color rgb="FFA8A8A8"/>
      </top>
      <bottom/>
      <diagonal/>
    </border>
    <border>
      <left style="thin">
        <color rgb="FFA8A8A8"/>
      </left>
      <right/>
      <top style="thin">
        <color rgb="FFA8A8A8"/>
      </top>
      <bottom/>
      <diagonal/>
    </border>
    <border>
      <left style="thin">
        <color rgb="FFA8A8A8"/>
      </left>
      <right/>
      <top/>
      <bottom style="thin">
        <color rgb="FFA8A8A8"/>
      </bottom>
      <diagonal/>
    </border>
    <border>
      <left/>
      <right style="thin">
        <color rgb="FFA8A8A8"/>
      </right>
      <top style="thin">
        <color rgb="FFA8A8A8"/>
      </top>
      <bottom/>
      <diagonal/>
    </border>
    <border>
      <left/>
      <right style="thin">
        <color rgb="FFA8A8A8"/>
      </right>
      <top/>
      <bottom style="thin">
        <color rgb="FFA8A8A8"/>
      </bottom>
      <diagonal/>
    </border>
    <border>
      <left style="thin">
        <color rgb="FFA8A8A8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A8A8A8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A8A8A8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5">
    <xf numFmtId="0" fontId="0" fillId="0" borderId="0"/>
    <xf numFmtId="0" fontId="2" fillId="2" borderId="0" applyNumberFormat="0" applyBorder="0" applyProtection="0">
      <alignment horizontal="left"/>
    </xf>
    <xf numFmtId="0" fontId="2" fillId="2" borderId="0" applyNumberFormat="0" applyBorder="0" applyProtection="0">
      <alignment horizontal="right"/>
    </xf>
    <xf numFmtId="0" fontId="4" fillId="3" borderId="0" applyNumberFormat="0" applyBorder="0" applyProtection="0">
      <alignment horizontal="left"/>
    </xf>
    <xf numFmtId="0" fontId="3" fillId="2" borderId="0" applyNumberFormat="0" applyBorder="0" applyProtection="0">
      <alignment horizontal="right"/>
    </xf>
    <xf numFmtId="0" fontId="5" fillId="2" borderId="0" applyNumberFormat="0" applyBorder="0" applyProtection="0">
      <alignment horizontal="right"/>
    </xf>
    <xf numFmtId="0" fontId="5" fillId="2" borderId="0" applyNumberFormat="0" applyBorder="0" applyProtection="0">
      <alignment horizontal="left"/>
    </xf>
    <xf numFmtId="0" fontId="5" fillId="2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5" fillId="3" borderId="0" applyNumberFormat="0" applyBorder="0" applyProtection="0">
      <alignment horizontal="left"/>
    </xf>
    <xf numFmtId="0" fontId="1" fillId="2" borderId="0" applyNumberFormat="0" applyBorder="0" applyProtection="0">
      <alignment horizontal="right"/>
    </xf>
    <xf numFmtId="0" fontId="6" fillId="2" borderId="0" applyNumberFormat="0" applyBorder="0" applyProtection="0">
      <alignment horizontal="right"/>
    </xf>
    <xf numFmtId="0" fontId="7" fillId="2" borderId="0" applyNumberFormat="0" applyBorder="0" applyProtection="0"/>
    <xf numFmtId="0" fontId="8" fillId="2" borderId="0" applyNumberFormat="0" applyBorder="0" applyProtection="0">
      <alignment vertical="center"/>
    </xf>
    <xf numFmtId="0" fontId="9" fillId="2" borderId="0" applyNumberFormat="0" applyBorder="0" applyProtection="0">
      <alignment vertical="center"/>
    </xf>
    <xf numFmtId="0" fontId="3" fillId="4" borderId="0" applyNumberFormat="0" applyBorder="0" applyProtection="0">
      <alignment horizontal="right"/>
    </xf>
    <xf numFmtId="0" fontId="5" fillId="4" borderId="0" applyNumberFormat="0" applyBorder="0" applyProtection="0">
      <alignment horizontal="right"/>
    </xf>
    <xf numFmtId="0" fontId="1" fillId="4" borderId="0" applyNumberFormat="0" applyBorder="0" applyProtection="0">
      <alignment horizontal="right"/>
    </xf>
    <xf numFmtId="0" fontId="6" fillId="4" borderId="0" applyNumberFormat="0" applyBorder="0" applyProtection="0">
      <alignment horizontal="right"/>
    </xf>
    <xf numFmtId="0" fontId="3" fillId="2" borderId="0" applyNumberFormat="0" applyBorder="0" applyProtection="0">
      <alignment horizontal="right"/>
    </xf>
    <xf numFmtId="0" fontId="3" fillId="2" borderId="0" applyNumberFormat="0" applyBorder="0" applyProtection="0">
      <alignment horizontal="right"/>
    </xf>
    <xf numFmtId="0" fontId="1" fillId="2" borderId="0" applyNumberFormat="0" applyBorder="0" applyProtection="0">
      <alignment vertical="center"/>
    </xf>
    <xf numFmtId="0" fontId="10" fillId="5" borderId="0" applyNumberFormat="0" applyBorder="0" applyProtection="0">
      <alignment horizontal="center" vertical="center"/>
    </xf>
    <xf numFmtId="0" fontId="8" fillId="2" borderId="0" applyNumberFormat="0" applyBorder="0" applyProtection="0">
      <alignment vertical="center"/>
    </xf>
    <xf numFmtId="0" fontId="1" fillId="2" borderId="0" applyNumberFormat="0" applyBorder="0" applyProtection="0">
      <alignment vertical="center"/>
    </xf>
    <xf numFmtId="0" fontId="11" fillId="6" borderId="0" applyNumberFormat="0" applyBorder="0" applyProtection="0">
      <alignment horizontal="right"/>
    </xf>
    <xf numFmtId="0" fontId="12" fillId="7" borderId="0" applyNumberFormat="0" applyBorder="0" applyProtection="0">
      <alignment horizontal="right"/>
    </xf>
    <xf numFmtId="0" fontId="13" fillId="8" borderId="0" applyNumberFormat="0" applyBorder="0" applyProtection="0">
      <alignment horizontal="right"/>
    </xf>
    <xf numFmtId="0" fontId="3" fillId="3" borderId="0" applyNumberFormat="0" applyBorder="0" applyProtection="0">
      <alignment horizontal="left"/>
    </xf>
    <xf numFmtId="0" fontId="3" fillId="2" borderId="0" applyNumberFormat="0" applyBorder="0" applyProtection="0">
      <alignment horizontal="left"/>
    </xf>
    <xf numFmtId="0" fontId="3" fillId="3" borderId="0" applyNumberFormat="0" applyBorder="0" applyProtection="0">
      <alignment horizontal="left"/>
    </xf>
    <xf numFmtId="0" fontId="3" fillId="9" borderId="0" applyNumberFormat="0" applyBorder="0" applyProtection="0">
      <alignment horizontal="left"/>
    </xf>
    <xf numFmtId="0" fontId="3" fillId="10" borderId="0" applyNumberFormat="0" applyBorder="0" applyProtection="0">
      <alignment horizontal="left"/>
    </xf>
    <xf numFmtId="0" fontId="3" fillId="11" borderId="0" applyNumberFormat="0" applyBorder="0" applyProtection="0">
      <alignment horizontal="left"/>
    </xf>
    <xf numFmtId="0" fontId="3" fillId="12" borderId="0" applyNumberFormat="0" applyBorder="0" applyProtection="0">
      <alignment horizontal="left"/>
    </xf>
  </cellStyleXfs>
  <cellXfs count="15">
    <xf numFmtId="0" fontId="0" fillId="0" borderId="0" xfId="0"/>
    <xf numFmtId="0" fontId="8" fillId="2" borderId="3" xfId="13" applyNumberFormat="1" applyBorder="1">
      <alignment vertical="center"/>
    </xf>
    <xf numFmtId="0" fontId="8" fillId="2" borderId="5" xfId="13" applyBorder="1">
      <alignment vertical="center"/>
    </xf>
    <xf numFmtId="49" fontId="7" fillId="2" borderId="8" xfId="12" applyNumberFormat="1" applyBorder="1"/>
    <xf numFmtId="0" fontId="8" fillId="2" borderId="4" xfId="13" applyBorder="1">
      <alignment vertical="center"/>
    </xf>
    <xf numFmtId="0" fontId="8" fillId="2" borderId="6" xfId="13" applyBorder="1">
      <alignment vertical="center"/>
    </xf>
    <xf numFmtId="49" fontId="5" fillId="2" borderId="7" xfId="6" applyNumberFormat="1" applyBorder="1">
      <alignment horizontal="left"/>
    </xf>
    <xf numFmtId="49" fontId="5" fillId="2" borderId="10" xfId="6" applyNumberFormat="1" applyBorder="1">
      <alignment horizontal="left"/>
    </xf>
    <xf numFmtId="0" fontId="8" fillId="2" borderId="2" xfId="13" applyBorder="1">
      <alignment vertical="center"/>
    </xf>
    <xf numFmtId="49" fontId="7" fillId="2" borderId="11" xfId="12" applyNumberFormat="1" applyBorder="1"/>
    <xf numFmtId="49" fontId="5" fillId="2" borderId="11" xfId="7" applyNumberFormat="1" applyBorder="1">
      <alignment horizontal="right"/>
    </xf>
    <xf numFmtId="49" fontId="3" fillId="3" borderId="9" xfId="8" applyNumberFormat="1" applyBorder="1">
      <alignment horizontal="left"/>
    </xf>
    <xf numFmtId="0" fontId="8" fillId="2" borderId="1" xfId="13" applyBorder="1">
      <alignment vertical="center"/>
    </xf>
    <xf numFmtId="0" fontId="14" fillId="0" borderId="12" xfId="0" applyFont="1" applyBorder="1"/>
    <xf numFmtId="166" fontId="0" fillId="0" borderId="12" xfId="0" applyNumberFormat="1" applyBorder="1"/>
  </cellXfs>
  <cellStyles count="35">
    <cellStyle name="Normal" xfId="0" builtinId="0"/>
    <cellStyle name="SACAttributeColumnHeaderCell" xfId="2" xr:uid="{A0603213-8A29-42FB-ADD0-E7C9A6FC0D49}"/>
    <cellStyle name="SACAttributeMemberCell" xfId="3" xr:uid="{E9E085F5-E212-4187-BBBE-B272587F0870}"/>
    <cellStyle name="SACAttributeRowHeaderCell" xfId="1" xr:uid="{C5C345A2-3ECB-4B6C-B825-ACEDCFE9C1D5}"/>
    <cellStyle name="SACChangedDataCell" xfId="15" xr:uid="{0C9A439F-C5B9-42BB-B634-7AE681D61AA1}"/>
    <cellStyle name="SACChangedDataTotalCell" xfId="16" xr:uid="{0B3CFA55-8633-44B9-B639-334E459C8631}"/>
    <cellStyle name="SACChangedReadonlyDataCell" xfId="17" xr:uid="{B7B45B39-DB44-45BF-BE30-350BD8AE866A}"/>
    <cellStyle name="SACChangedReadonlyDataTotalCell" xfId="18" xr:uid="{87BBCA2C-B6F4-4A6F-B596-BCCB9FF5B0C2}"/>
    <cellStyle name="SACColumnScalingCell" xfId="20" xr:uid="{20637B8A-B944-41F0-8139-295656ADAC52}"/>
    <cellStyle name="SACCrosstabHeader" xfId="13" xr:uid="{F2C70518-2218-4C67-8FC8-6F064F6E063B}"/>
    <cellStyle name="SACCrosstabHeaderInProgress" xfId="14" xr:uid="{234C43E6-E57B-4FED-8D0A-6DCFA9D8BDD0}"/>
    <cellStyle name="SACCrosstabSubHeader" xfId="21" xr:uid="{EF0C1462-3C59-4652-BF0F-8C53757EB807}"/>
    <cellStyle name="SACDataCell" xfId="4" xr:uid="{6393C740-8D6C-4D79-87B8-7FF15C4136D5}"/>
    <cellStyle name="SACDataTotalCell" xfId="5" xr:uid="{17E18471-178C-4439-BAB2-E28F90CCD7B8}"/>
    <cellStyle name="SACDimensionColumnHeaderCell" xfId="7" xr:uid="{7A401416-D111-4823-ACE7-B9616B2251C1}"/>
    <cellStyle name="SACDimensionRowHeaderCell" xfId="6" xr:uid="{FBE402F9-614E-4AE2-AE6B-62DFB7634C75}"/>
    <cellStyle name="SACEmptyHeaderCell" xfId="12" xr:uid="{B3B08980-E848-4774-91F1-49DC3B74745C}"/>
    <cellStyle name="SACHierarchyAlternatingA" xfId="28" xr:uid="{49EAEFF9-174F-4FC6-A797-518A83B3EADE}"/>
    <cellStyle name="SACHierarchyAlternatingB" xfId="29" xr:uid="{78D4B018-506C-4CF2-9054-90B0407C7A7A}"/>
    <cellStyle name="SACHierarchyLevel1" xfId="30" xr:uid="{3C93B03C-8FEC-4ABD-87B8-830E78DC6BAE}"/>
    <cellStyle name="SACHierarchyLevel2" xfId="31" xr:uid="{9881B736-0023-4D3D-964B-4157E8742817}"/>
    <cellStyle name="SACHierarchyLevel3" xfId="32" xr:uid="{EB65F30B-E059-4E6C-B3F9-0231AF744BDE}"/>
    <cellStyle name="SACHierarchyLevel4" xfId="33" xr:uid="{7F5767AD-5DCA-4CDD-8CD8-E8340E0E879C}"/>
    <cellStyle name="SACHierarchyLevel5" xfId="34" xr:uid="{BC66FE78-6CDF-460B-9AF3-63CBB8A5712D}"/>
    <cellStyle name="SACMemberCell" xfId="8" xr:uid="{5649710C-3949-4B1E-8FB8-1BAB8FF265A3}"/>
    <cellStyle name="SACMemberTotalCell" xfId="9" xr:uid="{6D074608-1D27-4BB4-B2E7-DFC16D38BCCC}"/>
    <cellStyle name="SACPlanningTriggerButtonCell" xfId="22" xr:uid="{56E11775-07BF-4D9C-8867-5E100A3728C4}"/>
    <cellStyle name="SACPlanningTriggerDescriptionCell" xfId="24" xr:uid="{0D4DA4E7-8699-4E88-A3E1-A7ED71EBD933}"/>
    <cellStyle name="SACPlanningTriggerLabelCell" xfId="23" xr:uid="{58B38059-68C3-464B-A852-AEC4443D224D}"/>
    <cellStyle name="SACReadonlyDataCell" xfId="10" xr:uid="{3F30356F-A918-49A0-9305-1CCECD2D67D3}"/>
    <cellStyle name="SACReadonlyDataTotalCell" xfId="11" xr:uid="{417F0627-BA80-4CA1-8B7F-6D36812EEF8B}"/>
    <cellStyle name="SACRowScalingCell" xfId="19" xr:uid="{98CFDBCE-4B57-4ADE-BC9E-29EEAD26F1E4}"/>
    <cellStyle name="SACThresholdCritical" xfId="27" xr:uid="{A533A040-768E-4E38-B080-4B82841AF595}"/>
    <cellStyle name="SACThresholdGood" xfId="25" xr:uid="{0CB8307F-847D-447B-A1E6-EAE7D6313383}"/>
    <cellStyle name="SACThresholdWarning" xfId="26" xr:uid="{009AABAC-3EE3-40A3-A58E-C62716E51D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shr\Downloads\mira-trading-mock-erp-6mo_2.xlsx" TargetMode="External"/><Relationship Id="rId1" Type="http://schemas.openxmlformats.org/officeDocument/2006/relationships/externalLinkPath" Target="file:///C:\Users\mashr\Downloads\mira-trading-mock-erp-6mo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hart of Accounts"/>
      <sheetName val="Cost Centers"/>
      <sheetName val="Journal Entries"/>
      <sheetName val="Trial Balance"/>
      <sheetName val="P&amp;L"/>
      <sheetName val="Cost Center Reporting (BW mock)"/>
    </sheetNames>
    <sheetDataSet>
      <sheetData sheetId="0"/>
      <sheetData sheetId="1"/>
      <sheetData sheetId="2"/>
      <sheetData sheetId="3">
        <row r="5">
          <cell r="C5" t="str">
            <v>Jan</v>
          </cell>
          <cell r="E5">
            <v>100000</v>
          </cell>
          <cell r="G5" t="str">
            <v>CC-300</v>
          </cell>
          <cell r="I5">
            <v>20000</v>
          </cell>
          <cell r="J5">
            <v>0</v>
          </cell>
        </row>
        <row r="6">
          <cell r="C6" t="str">
            <v>Jan</v>
          </cell>
          <cell r="E6">
            <v>310000</v>
          </cell>
          <cell r="G6" t="str">
            <v>CC-300</v>
          </cell>
          <cell r="I6">
            <v>0</v>
          </cell>
          <cell r="J6">
            <v>20000</v>
          </cell>
        </row>
        <row r="7">
          <cell r="C7" t="str">
            <v>Jan</v>
          </cell>
          <cell r="E7">
            <v>120000</v>
          </cell>
          <cell r="G7" t="str">
            <v>CC-100</v>
          </cell>
          <cell r="I7">
            <v>11000</v>
          </cell>
          <cell r="J7">
            <v>0</v>
          </cell>
        </row>
        <row r="8">
          <cell r="C8" t="str">
            <v>Jan</v>
          </cell>
          <cell r="E8">
            <v>400000</v>
          </cell>
          <cell r="G8" t="str">
            <v>CC-100</v>
          </cell>
          <cell r="I8">
            <v>0</v>
          </cell>
          <cell r="J8">
            <v>11000</v>
          </cell>
        </row>
        <row r="9">
          <cell r="C9" t="str">
            <v>Jan</v>
          </cell>
          <cell r="E9">
            <v>120000</v>
          </cell>
          <cell r="G9" t="str">
            <v>CC-100</v>
          </cell>
          <cell r="I9">
            <v>7000</v>
          </cell>
          <cell r="J9">
            <v>0</v>
          </cell>
        </row>
        <row r="10">
          <cell r="C10" t="str">
            <v>Jan</v>
          </cell>
          <cell r="E10">
            <v>400000</v>
          </cell>
          <cell r="G10" t="str">
            <v>CC-100</v>
          </cell>
          <cell r="I10">
            <v>0</v>
          </cell>
          <cell r="J10">
            <v>7000</v>
          </cell>
        </row>
        <row r="11">
          <cell r="C11" t="str">
            <v>Jan</v>
          </cell>
          <cell r="E11">
            <v>500000</v>
          </cell>
          <cell r="G11" t="str">
            <v>CC-200</v>
          </cell>
          <cell r="I11">
            <v>7500</v>
          </cell>
          <cell r="J11">
            <v>0</v>
          </cell>
        </row>
        <row r="12">
          <cell r="C12" t="str">
            <v>Jan</v>
          </cell>
          <cell r="E12">
            <v>200000</v>
          </cell>
          <cell r="G12" t="str">
            <v>CC-200</v>
          </cell>
          <cell r="I12">
            <v>0</v>
          </cell>
          <cell r="J12">
            <v>7500</v>
          </cell>
        </row>
        <row r="13">
          <cell r="C13" t="str">
            <v>Jan</v>
          </cell>
          <cell r="E13">
            <v>500000</v>
          </cell>
          <cell r="G13" t="str">
            <v>CC-200</v>
          </cell>
          <cell r="I13">
            <v>4500</v>
          </cell>
          <cell r="J13">
            <v>0</v>
          </cell>
        </row>
        <row r="14">
          <cell r="C14" t="str">
            <v>Jan</v>
          </cell>
          <cell r="E14">
            <v>200000</v>
          </cell>
          <cell r="G14" t="str">
            <v>CC-200</v>
          </cell>
          <cell r="I14">
            <v>0</v>
          </cell>
          <cell r="J14">
            <v>4500</v>
          </cell>
        </row>
        <row r="15">
          <cell r="C15" t="str">
            <v>Jan</v>
          </cell>
          <cell r="E15">
            <v>610000</v>
          </cell>
          <cell r="G15" t="str">
            <v>CC-300</v>
          </cell>
          <cell r="I15">
            <v>3200</v>
          </cell>
          <cell r="J15">
            <v>0</v>
          </cell>
        </row>
        <row r="16">
          <cell r="C16" t="str">
            <v>Jan</v>
          </cell>
          <cell r="E16">
            <v>200000</v>
          </cell>
          <cell r="G16" t="str">
            <v>CC-300</v>
          </cell>
          <cell r="I16">
            <v>0</v>
          </cell>
          <cell r="J16">
            <v>3200</v>
          </cell>
        </row>
        <row r="17">
          <cell r="C17" t="str">
            <v>Jan</v>
          </cell>
          <cell r="E17">
            <v>620000</v>
          </cell>
          <cell r="G17" t="str">
            <v>CC-200</v>
          </cell>
          <cell r="I17">
            <v>900</v>
          </cell>
          <cell r="J17">
            <v>0</v>
          </cell>
        </row>
        <row r="18">
          <cell r="C18" t="str">
            <v>Jan</v>
          </cell>
          <cell r="E18">
            <v>200000</v>
          </cell>
          <cell r="G18" t="str">
            <v>CC-200</v>
          </cell>
          <cell r="I18">
            <v>0</v>
          </cell>
          <cell r="J18">
            <v>900</v>
          </cell>
        </row>
        <row r="19">
          <cell r="C19" t="str">
            <v>Jan</v>
          </cell>
          <cell r="E19">
            <v>630000</v>
          </cell>
          <cell r="G19" t="str">
            <v>CC-300</v>
          </cell>
          <cell r="I19">
            <v>350</v>
          </cell>
          <cell r="J19">
            <v>0</v>
          </cell>
        </row>
        <row r="20">
          <cell r="C20" t="str">
            <v>Jan</v>
          </cell>
          <cell r="E20">
            <v>200000</v>
          </cell>
          <cell r="G20" t="str">
            <v>CC-300</v>
          </cell>
          <cell r="I20">
            <v>0</v>
          </cell>
          <cell r="J20">
            <v>350</v>
          </cell>
        </row>
        <row r="21">
          <cell r="C21" t="str">
            <v>Jan</v>
          </cell>
          <cell r="E21">
            <v>650000</v>
          </cell>
          <cell r="G21" t="str">
            <v>CC-100</v>
          </cell>
          <cell r="I21">
            <v>700</v>
          </cell>
          <cell r="J21">
            <v>0</v>
          </cell>
        </row>
        <row r="22">
          <cell r="C22" t="str">
            <v>Jan</v>
          </cell>
          <cell r="E22">
            <v>200000</v>
          </cell>
          <cell r="G22" t="str">
            <v>CC-100</v>
          </cell>
          <cell r="I22">
            <v>0</v>
          </cell>
          <cell r="J22">
            <v>700</v>
          </cell>
        </row>
        <row r="23">
          <cell r="C23" t="str">
            <v>Jan</v>
          </cell>
          <cell r="E23">
            <v>600000</v>
          </cell>
          <cell r="G23" t="str">
            <v>CC-100</v>
          </cell>
          <cell r="I23">
            <v>5200</v>
          </cell>
          <cell r="J23">
            <v>0</v>
          </cell>
        </row>
        <row r="24">
          <cell r="C24" t="str">
            <v>Jan</v>
          </cell>
          <cell r="E24">
            <v>600000</v>
          </cell>
          <cell r="G24" t="str">
            <v>CC-200</v>
          </cell>
          <cell r="I24">
            <v>4800</v>
          </cell>
          <cell r="J24">
            <v>0</v>
          </cell>
        </row>
        <row r="25">
          <cell r="C25" t="str">
            <v>Jan</v>
          </cell>
          <cell r="E25">
            <v>600000</v>
          </cell>
          <cell r="G25" t="str">
            <v>CC-300</v>
          </cell>
          <cell r="I25">
            <v>3600</v>
          </cell>
          <cell r="J25">
            <v>0</v>
          </cell>
        </row>
        <row r="26">
          <cell r="C26" t="str">
            <v>Jan</v>
          </cell>
          <cell r="E26">
            <v>100000</v>
          </cell>
          <cell r="G26" t="str">
            <v>CC-300</v>
          </cell>
          <cell r="I26">
            <v>0</v>
          </cell>
          <cell r="J26">
            <v>13600</v>
          </cell>
        </row>
        <row r="27">
          <cell r="C27" t="str">
            <v>Jan</v>
          </cell>
          <cell r="E27">
            <v>640000</v>
          </cell>
          <cell r="G27" t="str">
            <v>CC-300</v>
          </cell>
          <cell r="I27">
            <v>900</v>
          </cell>
          <cell r="J27">
            <v>0</v>
          </cell>
        </row>
        <row r="28">
          <cell r="C28" t="str">
            <v>Jan</v>
          </cell>
          <cell r="E28">
            <v>170000</v>
          </cell>
          <cell r="G28" t="str">
            <v>CC-300</v>
          </cell>
          <cell r="I28">
            <v>0</v>
          </cell>
          <cell r="J28">
            <v>900</v>
          </cell>
        </row>
        <row r="29">
          <cell r="C29" t="str">
            <v>Jan</v>
          </cell>
          <cell r="E29">
            <v>620000</v>
          </cell>
          <cell r="G29" t="str">
            <v>CC-200</v>
          </cell>
          <cell r="I29">
            <v>200</v>
          </cell>
          <cell r="J29">
            <v>0</v>
          </cell>
        </row>
        <row r="30">
          <cell r="C30" t="str">
            <v>Jan</v>
          </cell>
          <cell r="E30">
            <v>210000</v>
          </cell>
          <cell r="G30" t="str">
            <v>CC-200</v>
          </cell>
          <cell r="I30">
            <v>0</v>
          </cell>
          <cell r="J30">
            <v>200</v>
          </cell>
        </row>
        <row r="31">
          <cell r="C31" t="str">
            <v>Jan</v>
          </cell>
          <cell r="E31">
            <v>100000</v>
          </cell>
          <cell r="G31" t="str">
            <v>CC-100</v>
          </cell>
          <cell r="I31">
            <v>13500</v>
          </cell>
          <cell r="J31">
            <v>0</v>
          </cell>
        </row>
        <row r="32">
          <cell r="C32" t="str">
            <v>Jan</v>
          </cell>
          <cell r="E32">
            <v>120000</v>
          </cell>
          <cell r="G32" t="str">
            <v>CC-100</v>
          </cell>
          <cell r="I32">
            <v>0</v>
          </cell>
          <cell r="J32">
            <v>13500</v>
          </cell>
        </row>
        <row r="33">
          <cell r="C33" t="str">
            <v>Jan</v>
          </cell>
          <cell r="E33">
            <v>200000</v>
          </cell>
          <cell r="G33" t="str">
            <v>CC-300</v>
          </cell>
          <cell r="I33">
            <v>12000</v>
          </cell>
          <cell r="J33">
            <v>0</v>
          </cell>
        </row>
        <row r="34">
          <cell r="C34" t="str">
            <v>Jan</v>
          </cell>
          <cell r="E34">
            <v>100000</v>
          </cell>
          <cell r="G34" t="str">
            <v>CC-300</v>
          </cell>
          <cell r="I34">
            <v>0</v>
          </cell>
          <cell r="J34">
            <v>12000</v>
          </cell>
        </row>
        <row r="35">
          <cell r="C35" t="str">
            <v>Feb</v>
          </cell>
          <cell r="E35">
            <v>120000</v>
          </cell>
          <cell r="G35" t="str">
            <v>CC-100</v>
          </cell>
          <cell r="I35">
            <v>15000</v>
          </cell>
          <cell r="J35">
            <v>0</v>
          </cell>
        </row>
        <row r="36">
          <cell r="C36" t="str">
            <v>Feb</v>
          </cell>
          <cell r="E36">
            <v>400000</v>
          </cell>
          <cell r="G36" t="str">
            <v>CC-100</v>
          </cell>
          <cell r="I36">
            <v>0</v>
          </cell>
          <cell r="J36">
            <v>15000</v>
          </cell>
        </row>
        <row r="37">
          <cell r="C37" t="str">
            <v>Feb</v>
          </cell>
          <cell r="E37">
            <v>120000</v>
          </cell>
          <cell r="G37" t="str">
            <v>CC-100</v>
          </cell>
          <cell r="I37">
            <v>8000</v>
          </cell>
          <cell r="J37">
            <v>0</v>
          </cell>
        </row>
        <row r="38">
          <cell r="C38" t="str">
            <v>Feb</v>
          </cell>
          <cell r="E38">
            <v>400000</v>
          </cell>
          <cell r="G38" t="str">
            <v>CC-100</v>
          </cell>
          <cell r="I38">
            <v>0</v>
          </cell>
          <cell r="J38">
            <v>8000</v>
          </cell>
        </row>
        <row r="39">
          <cell r="C39" t="str">
            <v>Feb</v>
          </cell>
          <cell r="E39">
            <v>500000</v>
          </cell>
          <cell r="G39" t="str">
            <v>CC-200</v>
          </cell>
          <cell r="I39">
            <v>12000</v>
          </cell>
          <cell r="J39">
            <v>0</v>
          </cell>
        </row>
        <row r="40">
          <cell r="C40" t="str">
            <v>Feb</v>
          </cell>
          <cell r="E40">
            <v>200000</v>
          </cell>
          <cell r="G40" t="str">
            <v>CC-200</v>
          </cell>
          <cell r="I40">
            <v>0</v>
          </cell>
          <cell r="J40">
            <v>12000</v>
          </cell>
        </row>
        <row r="41">
          <cell r="C41" t="str">
            <v>Feb</v>
          </cell>
          <cell r="E41">
            <v>500000</v>
          </cell>
          <cell r="G41" t="str">
            <v>CC-200</v>
          </cell>
          <cell r="I41">
            <v>6500</v>
          </cell>
          <cell r="J41">
            <v>0</v>
          </cell>
        </row>
        <row r="42">
          <cell r="C42" t="str">
            <v>Feb</v>
          </cell>
          <cell r="E42">
            <v>200000</v>
          </cell>
          <cell r="G42" t="str">
            <v>CC-200</v>
          </cell>
          <cell r="I42">
            <v>0</v>
          </cell>
          <cell r="J42">
            <v>6500</v>
          </cell>
        </row>
        <row r="43">
          <cell r="C43" t="str">
            <v>Feb</v>
          </cell>
          <cell r="E43">
            <v>610000</v>
          </cell>
          <cell r="G43" t="str">
            <v>CC-300</v>
          </cell>
          <cell r="I43">
            <v>3200</v>
          </cell>
          <cell r="J43">
            <v>0</v>
          </cell>
        </row>
        <row r="44">
          <cell r="C44" t="str">
            <v>Feb</v>
          </cell>
          <cell r="E44">
            <v>200000</v>
          </cell>
          <cell r="G44" t="str">
            <v>CC-300</v>
          </cell>
          <cell r="I44">
            <v>0</v>
          </cell>
          <cell r="J44">
            <v>3200</v>
          </cell>
        </row>
        <row r="45">
          <cell r="C45" t="str">
            <v>Feb</v>
          </cell>
          <cell r="E45">
            <v>620000</v>
          </cell>
          <cell r="G45" t="str">
            <v>CC-200</v>
          </cell>
          <cell r="I45">
            <v>850</v>
          </cell>
          <cell r="J45">
            <v>0</v>
          </cell>
        </row>
        <row r="46">
          <cell r="C46" t="str">
            <v>Feb</v>
          </cell>
          <cell r="E46">
            <v>200000</v>
          </cell>
          <cell r="G46" t="str">
            <v>CC-200</v>
          </cell>
          <cell r="I46">
            <v>0</v>
          </cell>
          <cell r="J46">
            <v>850</v>
          </cell>
        </row>
        <row r="47">
          <cell r="C47" t="str">
            <v>Feb</v>
          </cell>
          <cell r="E47">
            <v>630000</v>
          </cell>
          <cell r="G47" t="str">
            <v>CC-300</v>
          </cell>
          <cell r="I47">
            <v>400</v>
          </cell>
          <cell r="J47">
            <v>0</v>
          </cell>
        </row>
        <row r="48">
          <cell r="C48" t="str">
            <v>Feb</v>
          </cell>
          <cell r="E48">
            <v>200000</v>
          </cell>
          <cell r="G48" t="str">
            <v>CC-300</v>
          </cell>
          <cell r="I48">
            <v>0</v>
          </cell>
          <cell r="J48">
            <v>400</v>
          </cell>
        </row>
        <row r="49">
          <cell r="C49" t="str">
            <v>Feb</v>
          </cell>
          <cell r="E49">
            <v>650000</v>
          </cell>
          <cell r="G49" t="str">
            <v>CC-100</v>
          </cell>
          <cell r="I49">
            <v>900</v>
          </cell>
          <cell r="J49">
            <v>0</v>
          </cell>
        </row>
        <row r="50">
          <cell r="C50" t="str">
            <v>Feb</v>
          </cell>
          <cell r="E50">
            <v>200000</v>
          </cell>
          <cell r="G50" t="str">
            <v>CC-100</v>
          </cell>
          <cell r="I50">
            <v>0</v>
          </cell>
          <cell r="J50">
            <v>900</v>
          </cell>
        </row>
        <row r="51">
          <cell r="C51" t="str">
            <v>Feb</v>
          </cell>
          <cell r="E51">
            <v>600000</v>
          </cell>
          <cell r="G51" t="str">
            <v>CC-100</v>
          </cell>
          <cell r="I51">
            <v>5200</v>
          </cell>
          <cell r="J51">
            <v>0</v>
          </cell>
        </row>
        <row r="52">
          <cell r="C52" t="str">
            <v>Feb</v>
          </cell>
          <cell r="E52">
            <v>600000</v>
          </cell>
          <cell r="G52" t="str">
            <v>CC-200</v>
          </cell>
          <cell r="I52">
            <v>4800</v>
          </cell>
          <cell r="J52">
            <v>0</v>
          </cell>
        </row>
        <row r="53">
          <cell r="C53" t="str">
            <v>Feb</v>
          </cell>
          <cell r="E53">
            <v>600000</v>
          </cell>
          <cell r="G53" t="str">
            <v>CC-300</v>
          </cell>
          <cell r="I53">
            <v>3600</v>
          </cell>
          <cell r="J53">
            <v>0</v>
          </cell>
        </row>
        <row r="54">
          <cell r="C54" t="str">
            <v>Feb</v>
          </cell>
          <cell r="E54">
            <v>100000</v>
          </cell>
          <cell r="G54" t="str">
            <v>CC-300</v>
          </cell>
          <cell r="I54">
            <v>0</v>
          </cell>
          <cell r="J54">
            <v>13600</v>
          </cell>
        </row>
        <row r="55">
          <cell r="C55" t="str">
            <v>Feb</v>
          </cell>
          <cell r="E55">
            <v>640000</v>
          </cell>
          <cell r="G55" t="str">
            <v>CC-300</v>
          </cell>
          <cell r="I55">
            <v>900</v>
          </cell>
          <cell r="J55">
            <v>0</v>
          </cell>
        </row>
        <row r="56">
          <cell r="C56" t="str">
            <v>Feb</v>
          </cell>
          <cell r="E56">
            <v>170000</v>
          </cell>
          <cell r="G56" t="str">
            <v>CC-300</v>
          </cell>
          <cell r="I56">
            <v>0</v>
          </cell>
          <cell r="J56">
            <v>900</v>
          </cell>
        </row>
        <row r="57">
          <cell r="C57" t="str">
            <v>Feb</v>
          </cell>
          <cell r="E57">
            <v>620000</v>
          </cell>
          <cell r="G57" t="str">
            <v>CC-200</v>
          </cell>
          <cell r="I57">
            <v>250</v>
          </cell>
          <cell r="J57">
            <v>0</v>
          </cell>
        </row>
        <row r="58">
          <cell r="C58" t="str">
            <v>Feb</v>
          </cell>
          <cell r="E58">
            <v>210000</v>
          </cell>
          <cell r="G58" t="str">
            <v>CC-200</v>
          </cell>
          <cell r="I58">
            <v>0</v>
          </cell>
          <cell r="J58">
            <v>250</v>
          </cell>
        </row>
        <row r="59">
          <cell r="C59" t="str">
            <v>Feb</v>
          </cell>
          <cell r="E59">
            <v>100000</v>
          </cell>
          <cell r="G59" t="str">
            <v>CC-100</v>
          </cell>
          <cell r="I59">
            <v>17250</v>
          </cell>
          <cell r="J59">
            <v>0</v>
          </cell>
        </row>
        <row r="60">
          <cell r="C60" t="str">
            <v>Feb</v>
          </cell>
          <cell r="E60">
            <v>120000</v>
          </cell>
          <cell r="G60" t="str">
            <v>CC-100</v>
          </cell>
          <cell r="I60">
            <v>0</v>
          </cell>
          <cell r="J60">
            <v>17250</v>
          </cell>
        </row>
        <row r="61">
          <cell r="C61" t="str">
            <v>Feb</v>
          </cell>
          <cell r="E61">
            <v>200000</v>
          </cell>
          <cell r="G61" t="str">
            <v>CC-300</v>
          </cell>
          <cell r="I61">
            <v>16700</v>
          </cell>
          <cell r="J61">
            <v>0</v>
          </cell>
        </row>
        <row r="62">
          <cell r="C62" t="str">
            <v>Feb</v>
          </cell>
          <cell r="E62">
            <v>100000</v>
          </cell>
          <cell r="G62" t="str">
            <v>CC-300</v>
          </cell>
          <cell r="I62">
            <v>0</v>
          </cell>
          <cell r="J62">
            <v>16700</v>
          </cell>
        </row>
        <row r="63">
          <cell r="C63" t="str">
            <v>Mar</v>
          </cell>
          <cell r="E63">
            <v>120000</v>
          </cell>
          <cell r="G63" t="str">
            <v>CC-100</v>
          </cell>
          <cell r="I63">
            <v>18500</v>
          </cell>
          <cell r="J63">
            <v>0</v>
          </cell>
        </row>
        <row r="64">
          <cell r="C64" t="str">
            <v>Mar</v>
          </cell>
          <cell r="E64">
            <v>400000</v>
          </cell>
          <cell r="G64" t="str">
            <v>CC-100</v>
          </cell>
          <cell r="I64">
            <v>0</v>
          </cell>
          <cell r="J64">
            <v>18500</v>
          </cell>
        </row>
        <row r="65">
          <cell r="C65" t="str">
            <v>Mar</v>
          </cell>
          <cell r="E65">
            <v>120000</v>
          </cell>
          <cell r="G65" t="str">
            <v>CC-100</v>
          </cell>
          <cell r="I65">
            <v>9200</v>
          </cell>
          <cell r="J65">
            <v>0</v>
          </cell>
        </row>
        <row r="66">
          <cell r="C66" t="str">
            <v>Mar</v>
          </cell>
          <cell r="E66">
            <v>400000</v>
          </cell>
          <cell r="G66" t="str">
            <v>CC-100</v>
          </cell>
          <cell r="I66">
            <v>0</v>
          </cell>
          <cell r="J66">
            <v>9200</v>
          </cell>
        </row>
        <row r="67">
          <cell r="C67" t="str">
            <v>Mar</v>
          </cell>
          <cell r="E67">
            <v>120000</v>
          </cell>
          <cell r="G67" t="str">
            <v>CC-100</v>
          </cell>
          <cell r="I67">
            <v>14750</v>
          </cell>
          <cell r="J67">
            <v>0</v>
          </cell>
        </row>
        <row r="68">
          <cell r="C68" t="str">
            <v>Mar</v>
          </cell>
          <cell r="E68">
            <v>400000</v>
          </cell>
          <cell r="G68" t="str">
            <v>CC-100</v>
          </cell>
          <cell r="I68">
            <v>0</v>
          </cell>
          <cell r="J68">
            <v>14750</v>
          </cell>
        </row>
        <row r="69">
          <cell r="C69" t="str">
            <v>Mar</v>
          </cell>
          <cell r="E69">
            <v>120000</v>
          </cell>
          <cell r="G69" t="str">
            <v>CC-100</v>
          </cell>
          <cell r="I69">
            <v>6300</v>
          </cell>
          <cell r="J69">
            <v>0</v>
          </cell>
        </row>
        <row r="70">
          <cell r="C70" t="str">
            <v>Mar</v>
          </cell>
          <cell r="E70">
            <v>400000</v>
          </cell>
          <cell r="G70" t="str">
            <v>CC-100</v>
          </cell>
          <cell r="I70">
            <v>0</v>
          </cell>
          <cell r="J70">
            <v>6300</v>
          </cell>
        </row>
        <row r="71">
          <cell r="C71" t="str">
            <v>Mar</v>
          </cell>
          <cell r="E71">
            <v>500000</v>
          </cell>
          <cell r="G71" t="str">
            <v>CC-200</v>
          </cell>
          <cell r="I71">
            <v>21000</v>
          </cell>
          <cell r="J71">
            <v>0</v>
          </cell>
        </row>
        <row r="72">
          <cell r="C72" t="str">
            <v>Mar</v>
          </cell>
          <cell r="E72">
            <v>200000</v>
          </cell>
          <cell r="G72" t="str">
            <v>CC-200</v>
          </cell>
          <cell r="I72">
            <v>0</v>
          </cell>
          <cell r="J72">
            <v>21000</v>
          </cell>
        </row>
        <row r="73">
          <cell r="C73" t="str">
            <v>Mar</v>
          </cell>
          <cell r="E73">
            <v>500000</v>
          </cell>
          <cell r="G73" t="str">
            <v>CC-200</v>
          </cell>
          <cell r="I73">
            <v>8400</v>
          </cell>
          <cell r="J73">
            <v>0</v>
          </cell>
        </row>
        <row r="74">
          <cell r="C74" t="str">
            <v>Mar</v>
          </cell>
          <cell r="E74">
            <v>200000</v>
          </cell>
          <cell r="G74" t="str">
            <v>CC-200</v>
          </cell>
          <cell r="I74">
            <v>0</v>
          </cell>
          <cell r="J74">
            <v>8400</v>
          </cell>
        </row>
        <row r="75">
          <cell r="C75" t="str">
            <v>Mar</v>
          </cell>
          <cell r="E75">
            <v>610000</v>
          </cell>
          <cell r="G75" t="str">
            <v>CC-300</v>
          </cell>
          <cell r="I75">
            <v>3200</v>
          </cell>
          <cell r="J75">
            <v>0</v>
          </cell>
        </row>
        <row r="76">
          <cell r="C76" t="str">
            <v>Mar</v>
          </cell>
          <cell r="E76">
            <v>200000</v>
          </cell>
          <cell r="G76" t="str">
            <v>CC-300</v>
          </cell>
          <cell r="I76">
            <v>0</v>
          </cell>
          <cell r="J76">
            <v>3200</v>
          </cell>
        </row>
        <row r="77">
          <cell r="C77" t="str">
            <v>Mar</v>
          </cell>
          <cell r="E77">
            <v>620000</v>
          </cell>
          <cell r="G77" t="str">
            <v>CC-200</v>
          </cell>
          <cell r="I77">
            <v>950</v>
          </cell>
          <cell r="J77">
            <v>0</v>
          </cell>
        </row>
        <row r="78">
          <cell r="C78" t="str">
            <v>Mar</v>
          </cell>
          <cell r="E78">
            <v>200000</v>
          </cell>
          <cell r="G78" t="str">
            <v>CC-200</v>
          </cell>
          <cell r="I78">
            <v>0</v>
          </cell>
          <cell r="J78">
            <v>950</v>
          </cell>
        </row>
        <row r="79">
          <cell r="C79" t="str">
            <v>Mar</v>
          </cell>
          <cell r="E79">
            <v>630000</v>
          </cell>
          <cell r="G79" t="str">
            <v>CC-300</v>
          </cell>
          <cell r="I79">
            <v>480</v>
          </cell>
          <cell r="J79">
            <v>0</v>
          </cell>
        </row>
        <row r="80">
          <cell r="C80" t="str">
            <v>Mar</v>
          </cell>
          <cell r="E80">
            <v>200000</v>
          </cell>
          <cell r="G80" t="str">
            <v>CC-300</v>
          </cell>
          <cell r="I80">
            <v>0</v>
          </cell>
          <cell r="J80">
            <v>480</v>
          </cell>
        </row>
        <row r="81">
          <cell r="C81" t="str">
            <v>Mar</v>
          </cell>
          <cell r="E81">
            <v>650000</v>
          </cell>
          <cell r="G81" t="str">
            <v>CC-100</v>
          </cell>
          <cell r="I81">
            <v>1600</v>
          </cell>
          <cell r="J81">
            <v>0</v>
          </cell>
        </row>
        <row r="82">
          <cell r="C82" t="str">
            <v>Mar</v>
          </cell>
          <cell r="E82">
            <v>200000</v>
          </cell>
          <cell r="G82" t="str">
            <v>CC-100</v>
          </cell>
          <cell r="I82">
            <v>0</v>
          </cell>
          <cell r="J82">
            <v>1600</v>
          </cell>
        </row>
        <row r="83">
          <cell r="C83" t="str">
            <v>Mar</v>
          </cell>
          <cell r="E83">
            <v>600000</v>
          </cell>
          <cell r="G83" t="str">
            <v>CC-100</v>
          </cell>
          <cell r="I83">
            <v>5200</v>
          </cell>
          <cell r="J83">
            <v>0</v>
          </cell>
        </row>
        <row r="84">
          <cell r="C84" t="str">
            <v>Mar</v>
          </cell>
          <cell r="E84">
            <v>600000</v>
          </cell>
          <cell r="G84" t="str">
            <v>CC-200</v>
          </cell>
          <cell r="I84">
            <v>4800</v>
          </cell>
          <cell r="J84">
            <v>0</v>
          </cell>
        </row>
        <row r="85">
          <cell r="C85" t="str">
            <v>Mar</v>
          </cell>
          <cell r="E85">
            <v>600000</v>
          </cell>
          <cell r="G85" t="str">
            <v>CC-300</v>
          </cell>
          <cell r="I85">
            <v>3600</v>
          </cell>
          <cell r="J85">
            <v>0</v>
          </cell>
        </row>
        <row r="86">
          <cell r="C86" t="str">
            <v>Mar</v>
          </cell>
          <cell r="E86">
            <v>100000</v>
          </cell>
          <cell r="G86" t="str">
            <v>CC-300</v>
          </cell>
          <cell r="I86">
            <v>0</v>
          </cell>
          <cell r="J86">
            <v>13600</v>
          </cell>
        </row>
        <row r="87">
          <cell r="C87" t="str">
            <v>Mar</v>
          </cell>
          <cell r="E87">
            <v>640000</v>
          </cell>
          <cell r="G87" t="str">
            <v>CC-300</v>
          </cell>
          <cell r="I87">
            <v>900</v>
          </cell>
          <cell r="J87">
            <v>0</v>
          </cell>
        </row>
        <row r="88">
          <cell r="C88" t="str">
            <v>Mar</v>
          </cell>
          <cell r="E88">
            <v>170000</v>
          </cell>
          <cell r="G88" t="str">
            <v>CC-300</v>
          </cell>
          <cell r="I88">
            <v>0</v>
          </cell>
          <cell r="J88">
            <v>900</v>
          </cell>
        </row>
        <row r="89">
          <cell r="C89" t="str">
            <v>Mar</v>
          </cell>
          <cell r="E89">
            <v>620000</v>
          </cell>
          <cell r="G89" t="str">
            <v>CC-200</v>
          </cell>
          <cell r="I89">
            <v>300</v>
          </cell>
          <cell r="J89">
            <v>0</v>
          </cell>
        </row>
        <row r="90">
          <cell r="C90" t="str">
            <v>Mar</v>
          </cell>
          <cell r="E90">
            <v>210000</v>
          </cell>
          <cell r="G90" t="str">
            <v>CC-200</v>
          </cell>
          <cell r="I90">
            <v>0</v>
          </cell>
          <cell r="J90">
            <v>300</v>
          </cell>
        </row>
        <row r="91">
          <cell r="C91" t="str">
            <v>Mar</v>
          </cell>
          <cell r="E91">
            <v>100000</v>
          </cell>
          <cell r="G91" t="str">
            <v>CC-100</v>
          </cell>
          <cell r="I91">
            <v>36550</v>
          </cell>
          <cell r="J91">
            <v>0</v>
          </cell>
        </row>
        <row r="92">
          <cell r="C92" t="str">
            <v>Mar</v>
          </cell>
          <cell r="E92">
            <v>120000</v>
          </cell>
          <cell r="G92" t="str">
            <v>CC-100</v>
          </cell>
          <cell r="I92">
            <v>0</v>
          </cell>
          <cell r="J92">
            <v>36550</v>
          </cell>
        </row>
        <row r="93">
          <cell r="C93" t="str">
            <v>Mar</v>
          </cell>
          <cell r="E93">
            <v>200000</v>
          </cell>
          <cell r="G93" t="str">
            <v>CC-300</v>
          </cell>
          <cell r="I93">
            <v>24900</v>
          </cell>
          <cell r="J93">
            <v>0</v>
          </cell>
        </row>
        <row r="94">
          <cell r="C94" t="str">
            <v>Mar</v>
          </cell>
          <cell r="E94">
            <v>100000</v>
          </cell>
          <cell r="G94" t="str">
            <v>CC-300</v>
          </cell>
          <cell r="I94">
            <v>0</v>
          </cell>
          <cell r="J94">
            <v>24900</v>
          </cell>
        </row>
        <row r="95">
          <cell r="C95" t="str">
            <v>Apr</v>
          </cell>
          <cell r="E95">
            <v>120000</v>
          </cell>
          <cell r="G95" t="str">
            <v>CC-100</v>
          </cell>
          <cell r="I95">
            <v>20000</v>
          </cell>
          <cell r="J95">
            <v>0</v>
          </cell>
        </row>
        <row r="96">
          <cell r="C96" t="str">
            <v>Apr</v>
          </cell>
          <cell r="E96">
            <v>400000</v>
          </cell>
          <cell r="G96" t="str">
            <v>CC-100</v>
          </cell>
          <cell r="I96">
            <v>0</v>
          </cell>
          <cell r="J96">
            <v>20000</v>
          </cell>
        </row>
        <row r="97">
          <cell r="C97" t="str">
            <v>Apr</v>
          </cell>
          <cell r="E97">
            <v>120000</v>
          </cell>
          <cell r="G97" t="str">
            <v>CC-100</v>
          </cell>
          <cell r="I97">
            <v>15000</v>
          </cell>
          <cell r="J97">
            <v>0</v>
          </cell>
        </row>
        <row r="98">
          <cell r="C98" t="str">
            <v>Apr</v>
          </cell>
          <cell r="E98">
            <v>400000</v>
          </cell>
          <cell r="G98" t="str">
            <v>CC-100</v>
          </cell>
          <cell r="I98">
            <v>0</v>
          </cell>
          <cell r="J98">
            <v>15000</v>
          </cell>
        </row>
        <row r="99">
          <cell r="C99" t="str">
            <v>Apr</v>
          </cell>
          <cell r="E99">
            <v>120000</v>
          </cell>
          <cell r="G99" t="str">
            <v>CC-100</v>
          </cell>
          <cell r="I99">
            <v>17000</v>
          </cell>
          <cell r="J99">
            <v>0</v>
          </cell>
        </row>
        <row r="100">
          <cell r="C100" t="str">
            <v>Apr</v>
          </cell>
          <cell r="E100">
            <v>400000</v>
          </cell>
          <cell r="G100" t="str">
            <v>CC-100</v>
          </cell>
          <cell r="I100">
            <v>0</v>
          </cell>
          <cell r="J100">
            <v>17000</v>
          </cell>
        </row>
        <row r="101">
          <cell r="C101" t="str">
            <v>Apr</v>
          </cell>
          <cell r="E101">
            <v>500000</v>
          </cell>
          <cell r="G101" t="str">
            <v>CC-200</v>
          </cell>
          <cell r="I101">
            <v>18000</v>
          </cell>
          <cell r="J101">
            <v>0</v>
          </cell>
        </row>
        <row r="102">
          <cell r="C102" t="str">
            <v>Apr</v>
          </cell>
          <cell r="E102">
            <v>200000</v>
          </cell>
          <cell r="G102" t="str">
            <v>CC-200</v>
          </cell>
          <cell r="I102">
            <v>0</v>
          </cell>
          <cell r="J102">
            <v>18000</v>
          </cell>
        </row>
        <row r="103">
          <cell r="C103" t="str">
            <v>Apr</v>
          </cell>
          <cell r="E103">
            <v>500000</v>
          </cell>
          <cell r="G103" t="str">
            <v>CC-200</v>
          </cell>
          <cell r="I103">
            <v>12000</v>
          </cell>
          <cell r="J103">
            <v>0</v>
          </cell>
        </row>
        <row r="104">
          <cell r="C104" t="str">
            <v>Apr</v>
          </cell>
          <cell r="E104">
            <v>200000</v>
          </cell>
          <cell r="G104" t="str">
            <v>CC-200</v>
          </cell>
          <cell r="I104">
            <v>0</v>
          </cell>
          <cell r="J104">
            <v>12000</v>
          </cell>
        </row>
        <row r="105">
          <cell r="C105" t="str">
            <v>Apr</v>
          </cell>
          <cell r="E105">
            <v>610000</v>
          </cell>
          <cell r="G105" t="str">
            <v>CC-300</v>
          </cell>
          <cell r="I105">
            <v>3200</v>
          </cell>
          <cell r="J105">
            <v>0</v>
          </cell>
        </row>
        <row r="106">
          <cell r="C106" t="str">
            <v>Apr</v>
          </cell>
          <cell r="E106">
            <v>200000</v>
          </cell>
          <cell r="G106" t="str">
            <v>CC-300</v>
          </cell>
          <cell r="I106">
            <v>0</v>
          </cell>
          <cell r="J106">
            <v>3200</v>
          </cell>
        </row>
        <row r="107">
          <cell r="C107" t="str">
            <v>Apr</v>
          </cell>
          <cell r="E107">
            <v>620000</v>
          </cell>
          <cell r="G107" t="str">
            <v>CC-200</v>
          </cell>
          <cell r="I107">
            <v>800</v>
          </cell>
          <cell r="J107">
            <v>0</v>
          </cell>
        </row>
        <row r="108">
          <cell r="C108" t="str">
            <v>Apr</v>
          </cell>
          <cell r="E108">
            <v>200000</v>
          </cell>
          <cell r="G108" t="str">
            <v>CC-200</v>
          </cell>
          <cell r="I108">
            <v>0</v>
          </cell>
          <cell r="J108">
            <v>800</v>
          </cell>
        </row>
        <row r="109">
          <cell r="C109" t="str">
            <v>Apr</v>
          </cell>
          <cell r="E109">
            <v>630000</v>
          </cell>
          <cell r="G109" t="str">
            <v>CC-300</v>
          </cell>
          <cell r="I109">
            <v>420</v>
          </cell>
          <cell r="J109">
            <v>0</v>
          </cell>
        </row>
        <row r="110">
          <cell r="C110" t="str">
            <v>Apr</v>
          </cell>
          <cell r="E110">
            <v>200000</v>
          </cell>
          <cell r="G110" t="str">
            <v>CC-300</v>
          </cell>
          <cell r="I110">
            <v>0</v>
          </cell>
          <cell r="J110">
            <v>420</v>
          </cell>
        </row>
        <row r="111">
          <cell r="C111" t="str">
            <v>Apr</v>
          </cell>
          <cell r="E111">
            <v>650000</v>
          </cell>
          <cell r="G111" t="str">
            <v>CC-100</v>
          </cell>
          <cell r="I111">
            <v>1800</v>
          </cell>
          <cell r="J111">
            <v>0</v>
          </cell>
        </row>
        <row r="112">
          <cell r="C112" t="str">
            <v>Apr</v>
          </cell>
          <cell r="E112">
            <v>200000</v>
          </cell>
          <cell r="G112" t="str">
            <v>CC-100</v>
          </cell>
          <cell r="I112">
            <v>0</v>
          </cell>
          <cell r="J112">
            <v>1800</v>
          </cell>
        </row>
        <row r="113">
          <cell r="C113" t="str">
            <v>Apr</v>
          </cell>
          <cell r="E113">
            <v>600000</v>
          </cell>
          <cell r="G113" t="str">
            <v>CC-100</v>
          </cell>
          <cell r="I113">
            <v>5200</v>
          </cell>
          <cell r="J113">
            <v>0</v>
          </cell>
        </row>
        <row r="114">
          <cell r="C114" t="str">
            <v>Apr</v>
          </cell>
          <cell r="E114">
            <v>600000</v>
          </cell>
          <cell r="G114" t="str">
            <v>CC-200</v>
          </cell>
          <cell r="I114">
            <v>4800</v>
          </cell>
          <cell r="J114">
            <v>0</v>
          </cell>
        </row>
        <row r="115">
          <cell r="C115" t="str">
            <v>Apr</v>
          </cell>
          <cell r="E115">
            <v>600000</v>
          </cell>
          <cell r="G115" t="str">
            <v>CC-300</v>
          </cell>
          <cell r="I115">
            <v>3600</v>
          </cell>
          <cell r="J115">
            <v>0</v>
          </cell>
        </row>
        <row r="116">
          <cell r="C116" t="str">
            <v>Apr</v>
          </cell>
          <cell r="E116">
            <v>100000</v>
          </cell>
          <cell r="G116" t="str">
            <v>CC-300</v>
          </cell>
          <cell r="I116">
            <v>0</v>
          </cell>
          <cell r="J116">
            <v>13600</v>
          </cell>
        </row>
        <row r="117">
          <cell r="C117" t="str">
            <v>Apr</v>
          </cell>
          <cell r="E117">
            <v>640000</v>
          </cell>
          <cell r="G117" t="str">
            <v>CC-300</v>
          </cell>
          <cell r="I117">
            <v>900</v>
          </cell>
          <cell r="J117">
            <v>0</v>
          </cell>
        </row>
        <row r="118">
          <cell r="C118" t="str">
            <v>Apr</v>
          </cell>
          <cell r="E118">
            <v>170000</v>
          </cell>
          <cell r="G118" t="str">
            <v>CC-300</v>
          </cell>
          <cell r="I118">
            <v>0</v>
          </cell>
          <cell r="J118">
            <v>900</v>
          </cell>
        </row>
        <row r="119">
          <cell r="C119" t="str">
            <v>Apr</v>
          </cell>
          <cell r="E119">
            <v>620000</v>
          </cell>
          <cell r="G119" t="str">
            <v>CC-200</v>
          </cell>
          <cell r="I119">
            <v>200</v>
          </cell>
          <cell r="J119">
            <v>0</v>
          </cell>
        </row>
        <row r="120">
          <cell r="C120" t="str">
            <v>Apr</v>
          </cell>
          <cell r="E120">
            <v>210000</v>
          </cell>
          <cell r="G120" t="str">
            <v>CC-200</v>
          </cell>
          <cell r="I120">
            <v>0</v>
          </cell>
          <cell r="J120">
            <v>200</v>
          </cell>
        </row>
        <row r="121">
          <cell r="C121" t="str">
            <v>Apr</v>
          </cell>
          <cell r="E121">
            <v>100000</v>
          </cell>
          <cell r="G121" t="str">
            <v>CC-100</v>
          </cell>
          <cell r="I121">
            <v>39000</v>
          </cell>
          <cell r="J121">
            <v>0</v>
          </cell>
        </row>
        <row r="122">
          <cell r="C122" t="str">
            <v>Apr</v>
          </cell>
          <cell r="E122">
            <v>120000</v>
          </cell>
          <cell r="G122" t="str">
            <v>CC-100</v>
          </cell>
          <cell r="I122">
            <v>0</v>
          </cell>
          <cell r="J122">
            <v>39000</v>
          </cell>
        </row>
        <row r="123">
          <cell r="C123" t="str">
            <v>Apr</v>
          </cell>
          <cell r="E123">
            <v>200000</v>
          </cell>
          <cell r="G123" t="str">
            <v>CC-300</v>
          </cell>
          <cell r="I123">
            <v>25350</v>
          </cell>
          <cell r="J123">
            <v>0</v>
          </cell>
        </row>
        <row r="124">
          <cell r="C124" t="str">
            <v>Apr</v>
          </cell>
          <cell r="E124">
            <v>100000</v>
          </cell>
          <cell r="G124" t="str">
            <v>CC-300</v>
          </cell>
          <cell r="I124">
            <v>0</v>
          </cell>
          <cell r="J124">
            <v>25350</v>
          </cell>
        </row>
        <row r="125">
          <cell r="C125" t="str">
            <v>May</v>
          </cell>
          <cell r="E125">
            <v>120000</v>
          </cell>
          <cell r="G125" t="str">
            <v>CC-100</v>
          </cell>
          <cell r="I125">
            <v>22000</v>
          </cell>
          <cell r="J125">
            <v>0</v>
          </cell>
        </row>
        <row r="126">
          <cell r="C126" t="str">
            <v>May</v>
          </cell>
          <cell r="E126">
            <v>400000</v>
          </cell>
          <cell r="G126" t="str">
            <v>CC-100</v>
          </cell>
          <cell r="I126">
            <v>0</v>
          </cell>
          <cell r="J126">
            <v>22000</v>
          </cell>
        </row>
        <row r="127">
          <cell r="C127" t="str">
            <v>May</v>
          </cell>
          <cell r="E127">
            <v>120000</v>
          </cell>
          <cell r="G127" t="str">
            <v>CC-100</v>
          </cell>
          <cell r="I127">
            <v>18000</v>
          </cell>
          <cell r="J127">
            <v>0</v>
          </cell>
        </row>
        <row r="128">
          <cell r="C128" t="str">
            <v>May</v>
          </cell>
          <cell r="E128">
            <v>400000</v>
          </cell>
          <cell r="G128" t="str">
            <v>CC-100</v>
          </cell>
          <cell r="I128">
            <v>0</v>
          </cell>
          <cell r="J128">
            <v>18000</v>
          </cell>
        </row>
        <row r="129">
          <cell r="C129" t="str">
            <v>May</v>
          </cell>
          <cell r="E129">
            <v>120000</v>
          </cell>
          <cell r="G129" t="str">
            <v>CC-100</v>
          </cell>
          <cell r="I129">
            <v>18000</v>
          </cell>
          <cell r="J129">
            <v>0</v>
          </cell>
        </row>
        <row r="130">
          <cell r="C130" t="str">
            <v>May</v>
          </cell>
          <cell r="E130">
            <v>400000</v>
          </cell>
          <cell r="G130" t="str">
            <v>CC-100</v>
          </cell>
          <cell r="I130">
            <v>0</v>
          </cell>
          <cell r="J130">
            <v>18000</v>
          </cell>
        </row>
        <row r="131">
          <cell r="C131" t="str">
            <v>May</v>
          </cell>
          <cell r="E131">
            <v>500000</v>
          </cell>
          <cell r="G131" t="str">
            <v>CC-200</v>
          </cell>
          <cell r="I131">
            <v>19000</v>
          </cell>
          <cell r="J131">
            <v>0</v>
          </cell>
        </row>
        <row r="132">
          <cell r="C132" t="str">
            <v>May</v>
          </cell>
          <cell r="E132">
            <v>200000</v>
          </cell>
          <cell r="G132" t="str">
            <v>CC-200</v>
          </cell>
          <cell r="I132">
            <v>0</v>
          </cell>
          <cell r="J132">
            <v>19000</v>
          </cell>
        </row>
        <row r="133">
          <cell r="C133" t="str">
            <v>May</v>
          </cell>
          <cell r="E133">
            <v>500000</v>
          </cell>
          <cell r="G133" t="str">
            <v>CC-200</v>
          </cell>
          <cell r="I133">
            <v>13000</v>
          </cell>
          <cell r="J133">
            <v>0</v>
          </cell>
        </row>
        <row r="134">
          <cell r="C134" t="str">
            <v>May</v>
          </cell>
          <cell r="E134">
            <v>200000</v>
          </cell>
          <cell r="G134" t="str">
            <v>CC-200</v>
          </cell>
          <cell r="I134">
            <v>0</v>
          </cell>
          <cell r="J134">
            <v>13000</v>
          </cell>
        </row>
        <row r="135">
          <cell r="C135" t="str">
            <v>May</v>
          </cell>
          <cell r="E135">
            <v>610000</v>
          </cell>
          <cell r="G135" t="str">
            <v>CC-300</v>
          </cell>
          <cell r="I135">
            <v>3200</v>
          </cell>
          <cell r="J135">
            <v>0</v>
          </cell>
        </row>
        <row r="136">
          <cell r="C136" t="str">
            <v>May</v>
          </cell>
          <cell r="E136">
            <v>200000</v>
          </cell>
          <cell r="G136" t="str">
            <v>CC-300</v>
          </cell>
          <cell r="I136">
            <v>0</v>
          </cell>
          <cell r="J136">
            <v>3200</v>
          </cell>
        </row>
        <row r="137">
          <cell r="C137" t="str">
            <v>May</v>
          </cell>
          <cell r="E137">
            <v>620000</v>
          </cell>
          <cell r="G137" t="str">
            <v>CC-200</v>
          </cell>
          <cell r="I137">
            <v>850</v>
          </cell>
          <cell r="J137">
            <v>0</v>
          </cell>
        </row>
        <row r="138">
          <cell r="C138" t="str">
            <v>May</v>
          </cell>
          <cell r="E138">
            <v>200000</v>
          </cell>
          <cell r="G138" t="str">
            <v>CC-200</v>
          </cell>
          <cell r="I138">
            <v>0</v>
          </cell>
          <cell r="J138">
            <v>850</v>
          </cell>
        </row>
        <row r="139">
          <cell r="C139" t="str">
            <v>May</v>
          </cell>
          <cell r="E139">
            <v>630000</v>
          </cell>
          <cell r="G139" t="str">
            <v>CC-300</v>
          </cell>
          <cell r="I139">
            <v>400</v>
          </cell>
          <cell r="J139">
            <v>0</v>
          </cell>
        </row>
        <row r="140">
          <cell r="C140" t="str">
            <v>May</v>
          </cell>
          <cell r="E140">
            <v>200000</v>
          </cell>
          <cell r="G140" t="str">
            <v>CC-300</v>
          </cell>
          <cell r="I140">
            <v>0</v>
          </cell>
          <cell r="J140">
            <v>400</v>
          </cell>
        </row>
        <row r="141">
          <cell r="C141" t="str">
            <v>May</v>
          </cell>
          <cell r="E141">
            <v>650000</v>
          </cell>
          <cell r="G141" t="str">
            <v>CC-100</v>
          </cell>
          <cell r="I141">
            <v>2000</v>
          </cell>
          <cell r="J141">
            <v>0</v>
          </cell>
        </row>
        <row r="142">
          <cell r="C142" t="str">
            <v>May</v>
          </cell>
          <cell r="E142">
            <v>200000</v>
          </cell>
          <cell r="G142" t="str">
            <v>CC-100</v>
          </cell>
          <cell r="I142">
            <v>0</v>
          </cell>
          <cell r="J142">
            <v>2000</v>
          </cell>
        </row>
        <row r="143">
          <cell r="C143" t="str">
            <v>May</v>
          </cell>
          <cell r="E143">
            <v>600000</v>
          </cell>
          <cell r="G143" t="str">
            <v>CC-100</v>
          </cell>
          <cell r="I143">
            <v>5200</v>
          </cell>
          <cell r="J143">
            <v>0</v>
          </cell>
        </row>
        <row r="144">
          <cell r="C144" t="str">
            <v>May</v>
          </cell>
          <cell r="E144">
            <v>600000</v>
          </cell>
          <cell r="G144" t="str">
            <v>CC-200</v>
          </cell>
          <cell r="I144">
            <v>4800</v>
          </cell>
          <cell r="J144">
            <v>0</v>
          </cell>
        </row>
        <row r="145">
          <cell r="C145" t="str">
            <v>May</v>
          </cell>
          <cell r="E145">
            <v>600000</v>
          </cell>
          <cell r="G145" t="str">
            <v>CC-300</v>
          </cell>
          <cell r="I145">
            <v>3600</v>
          </cell>
          <cell r="J145">
            <v>0</v>
          </cell>
        </row>
        <row r="146">
          <cell r="C146" t="str">
            <v>May</v>
          </cell>
          <cell r="E146">
            <v>100000</v>
          </cell>
          <cell r="G146" t="str">
            <v>CC-300</v>
          </cell>
          <cell r="I146">
            <v>0</v>
          </cell>
          <cell r="J146">
            <v>13600</v>
          </cell>
        </row>
        <row r="147">
          <cell r="C147" t="str">
            <v>May</v>
          </cell>
          <cell r="E147">
            <v>640000</v>
          </cell>
          <cell r="G147" t="str">
            <v>CC-300</v>
          </cell>
          <cell r="I147">
            <v>900</v>
          </cell>
          <cell r="J147">
            <v>0</v>
          </cell>
        </row>
        <row r="148">
          <cell r="C148" t="str">
            <v>May</v>
          </cell>
          <cell r="E148">
            <v>170000</v>
          </cell>
          <cell r="G148" t="str">
            <v>CC-300</v>
          </cell>
          <cell r="I148">
            <v>0</v>
          </cell>
          <cell r="J148">
            <v>900</v>
          </cell>
        </row>
        <row r="149">
          <cell r="C149" t="str">
            <v>May</v>
          </cell>
          <cell r="E149">
            <v>620000</v>
          </cell>
          <cell r="G149" t="str">
            <v>CC-200</v>
          </cell>
          <cell r="I149">
            <v>200</v>
          </cell>
          <cell r="J149">
            <v>0</v>
          </cell>
        </row>
        <row r="150">
          <cell r="C150" t="str">
            <v>May</v>
          </cell>
          <cell r="E150">
            <v>210000</v>
          </cell>
          <cell r="G150" t="str">
            <v>CC-200</v>
          </cell>
          <cell r="I150">
            <v>0</v>
          </cell>
          <cell r="J150">
            <v>200</v>
          </cell>
        </row>
        <row r="151">
          <cell r="C151" t="str">
            <v>May</v>
          </cell>
          <cell r="E151">
            <v>100000</v>
          </cell>
          <cell r="G151" t="str">
            <v>CC-100</v>
          </cell>
          <cell r="I151">
            <v>43500</v>
          </cell>
          <cell r="J151">
            <v>0</v>
          </cell>
        </row>
        <row r="152">
          <cell r="C152" t="str">
            <v>May</v>
          </cell>
          <cell r="E152">
            <v>120000</v>
          </cell>
          <cell r="G152" t="str">
            <v>CC-100</v>
          </cell>
          <cell r="I152">
            <v>0</v>
          </cell>
          <cell r="J152">
            <v>43500</v>
          </cell>
        </row>
        <row r="153">
          <cell r="C153" t="str">
            <v>May</v>
          </cell>
          <cell r="E153">
            <v>200000</v>
          </cell>
          <cell r="G153" t="str">
            <v>CC-300</v>
          </cell>
          <cell r="I153">
            <v>26900</v>
          </cell>
          <cell r="J153">
            <v>0</v>
          </cell>
        </row>
        <row r="154">
          <cell r="C154" t="str">
            <v>May</v>
          </cell>
          <cell r="E154">
            <v>100000</v>
          </cell>
          <cell r="G154" t="str">
            <v>CC-300</v>
          </cell>
          <cell r="I154">
            <v>0</v>
          </cell>
          <cell r="J154">
            <v>26900</v>
          </cell>
        </row>
        <row r="155">
          <cell r="C155" t="str">
            <v>Jun</v>
          </cell>
          <cell r="E155">
            <v>120000</v>
          </cell>
          <cell r="G155" t="str">
            <v>CC-100</v>
          </cell>
          <cell r="I155">
            <v>24000</v>
          </cell>
          <cell r="J155">
            <v>0</v>
          </cell>
        </row>
        <row r="156">
          <cell r="C156" t="str">
            <v>Jun</v>
          </cell>
          <cell r="E156">
            <v>400000</v>
          </cell>
          <cell r="G156" t="str">
            <v>CC-100</v>
          </cell>
          <cell r="I156">
            <v>0</v>
          </cell>
          <cell r="J156">
            <v>24000</v>
          </cell>
        </row>
        <row r="157">
          <cell r="C157" t="str">
            <v>Jun</v>
          </cell>
          <cell r="E157">
            <v>120000</v>
          </cell>
          <cell r="G157" t="str">
            <v>CC-100</v>
          </cell>
          <cell r="I157">
            <v>20000</v>
          </cell>
          <cell r="J157">
            <v>0</v>
          </cell>
        </row>
        <row r="158">
          <cell r="C158" t="str">
            <v>Jun</v>
          </cell>
          <cell r="E158">
            <v>400000</v>
          </cell>
          <cell r="G158" t="str">
            <v>CC-100</v>
          </cell>
          <cell r="I158">
            <v>0</v>
          </cell>
          <cell r="J158">
            <v>20000</v>
          </cell>
        </row>
        <row r="159">
          <cell r="C159" t="str">
            <v>Jun</v>
          </cell>
          <cell r="E159">
            <v>120000</v>
          </cell>
          <cell r="G159" t="str">
            <v>CC-100</v>
          </cell>
          <cell r="I159">
            <v>19000</v>
          </cell>
          <cell r="J159">
            <v>0</v>
          </cell>
        </row>
        <row r="160">
          <cell r="C160" t="str">
            <v>Jun</v>
          </cell>
          <cell r="E160">
            <v>400000</v>
          </cell>
          <cell r="G160" t="str">
            <v>CC-100</v>
          </cell>
          <cell r="I160">
            <v>0</v>
          </cell>
          <cell r="J160">
            <v>19000</v>
          </cell>
        </row>
        <row r="161">
          <cell r="C161" t="str">
            <v>Jun</v>
          </cell>
          <cell r="E161">
            <v>500000</v>
          </cell>
          <cell r="G161" t="str">
            <v>CC-200</v>
          </cell>
          <cell r="I161">
            <v>20000</v>
          </cell>
          <cell r="J161">
            <v>0</v>
          </cell>
        </row>
        <row r="162">
          <cell r="C162" t="str">
            <v>Jun</v>
          </cell>
          <cell r="E162">
            <v>200000</v>
          </cell>
          <cell r="G162" t="str">
            <v>CC-200</v>
          </cell>
          <cell r="I162">
            <v>0</v>
          </cell>
          <cell r="J162">
            <v>20000</v>
          </cell>
        </row>
        <row r="163">
          <cell r="C163" t="str">
            <v>Jun</v>
          </cell>
          <cell r="E163">
            <v>500000</v>
          </cell>
          <cell r="G163" t="str">
            <v>CC-200</v>
          </cell>
          <cell r="I163">
            <v>14000</v>
          </cell>
          <cell r="J163">
            <v>0</v>
          </cell>
        </row>
        <row r="164">
          <cell r="C164" t="str">
            <v>Jun</v>
          </cell>
          <cell r="E164">
            <v>200000</v>
          </cell>
          <cell r="G164" t="str">
            <v>CC-200</v>
          </cell>
          <cell r="I164">
            <v>0</v>
          </cell>
          <cell r="J164">
            <v>14000</v>
          </cell>
        </row>
        <row r="165">
          <cell r="C165" t="str">
            <v>Jun</v>
          </cell>
          <cell r="E165">
            <v>610000</v>
          </cell>
          <cell r="G165" t="str">
            <v>CC-300</v>
          </cell>
          <cell r="I165">
            <v>3200</v>
          </cell>
          <cell r="J165">
            <v>0</v>
          </cell>
        </row>
        <row r="166">
          <cell r="C166" t="str">
            <v>Jun</v>
          </cell>
          <cell r="E166">
            <v>200000</v>
          </cell>
          <cell r="G166" t="str">
            <v>CC-300</v>
          </cell>
          <cell r="I166">
            <v>0</v>
          </cell>
          <cell r="J166">
            <v>3200</v>
          </cell>
        </row>
        <row r="167">
          <cell r="C167" t="str">
            <v>Jun</v>
          </cell>
          <cell r="E167">
            <v>620000</v>
          </cell>
          <cell r="G167" t="str">
            <v>CC-200</v>
          </cell>
          <cell r="I167">
            <v>900</v>
          </cell>
          <cell r="J167">
            <v>0</v>
          </cell>
        </row>
        <row r="168">
          <cell r="C168" t="str">
            <v>Jun</v>
          </cell>
          <cell r="E168">
            <v>200000</v>
          </cell>
          <cell r="G168" t="str">
            <v>CC-200</v>
          </cell>
          <cell r="I168">
            <v>0</v>
          </cell>
          <cell r="J168">
            <v>900</v>
          </cell>
        </row>
        <row r="169">
          <cell r="C169" t="str">
            <v>Jun</v>
          </cell>
          <cell r="E169">
            <v>630000</v>
          </cell>
          <cell r="G169" t="str">
            <v>CC-300</v>
          </cell>
          <cell r="I169">
            <v>450</v>
          </cell>
          <cell r="J169">
            <v>0</v>
          </cell>
        </row>
        <row r="170">
          <cell r="C170" t="str">
            <v>Jun</v>
          </cell>
          <cell r="E170">
            <v>200000</v>
          </cell>
          <cell r="G170" t="str">
            <v>CC-300</v>
          </cell>
          <cell r="I170">
            <v>0</v>
          </cell>
          <cell r="J170">
            <v>450</v>
          </cell>
        </row>
        <row r="171">
          <cell r="C171" t="str">
            <v>Jun</v>
          </cell>
          <cell r="E171">
            <v>650000</v>
          </cell>
          <cell r="G171" t="str">
            <v>CC-100</v>
          </cell>
          <cell r="I171">
            <v>2200</v>
          </cell>
          <cell r="J171">
            <v>0</v>
          </cell>
        </row>
        <row r="172">
          <cell r="C172" t="str">
            <v>Jun</v>
          </cell>
          <cell r="E172">
            <v>200000</v>
          </cell>
          <cell r="G172" t="str">
            <v>CC-100</v>
          </cell>
          <cell r="I172">
            <v>0</v>
          </cell>
          <cell r="J172">
            <v>2200</v>
          </cell>
        </row>
        <row r="173">
          <cell r="C173" t="str">
            <v>Jun</v>
          </cell>
          <cell r="E173">
            <v>600000</v>
          </cell>
          <cell r="G173" t="str">
            <v>CC-100</v>
          </cell>
          <cell r="I173">
            <v>5200</v>
          </cell>
          <cell r="J173">
            <v>0</v>
          </cell>
        </row>
        <row r="174">
          <cell r="C174" t="str">
            <v>Jun</v>
          </cell>
          <cell r="E174">
            <v>600000</v>
          </cell>
          <cell r="G174" t="str">
            <v>CC-200</v>
          </cell>
          <cell r="I174">
            <v>4800</v>
          </cell>
          <cell r="J174">
            <v>0</v>
          </cell>
        </row>
        <row r="175">
          <cell r="C175" t="str">
            <v>Jun</v>
          </cell>
          <cell r="E175">
            <v>600000</v>
          </cell>
          <cell r="G175" t="str">
            <v>CC-300</v>
          </cell>
          <cell r="I175">
            <v>3600</v>
          </cell>
          <cell r="J175">
            <v>0</v>
          </cell>
        </row>
        <row r="176">
          <cell r="C176" t="str">
            <v>Jun</v>
          </cell>
          <cell r="E176">
            <v>100000</v>
          </cell>
          <cell r="G176" t="str">
            <v>CC-300</v>
          </cell>
          <cell r="I176">
            <v>0</v>
          </cell>
          <cell r="J176">
            <v>13600</v>
          </cell>
        </row>
        <row r="177">
          <cell r="C177" t="str">
            <v>Jun</v>
          </cell>
          <cell r="E177">
            <v>640000</v>
          </cell>
          <cell r="G177" t="str">
            <v>CC-300</v>
          </cell>
          <cell r="I177">
            <v>900</v>
          </cell>
          <cell r="J177">
            <v>0</v>
          </cell>
        </row>
        <row r="178">
          <cell r="C178" t="str">
            <v>Jun</v>
          </cell>
          <cell r="E178">
            <v>170000</v>
          </cell>
          <cell r="G178" t="str">
            <v>CC-300</v>
          </cell>
          <cell r="I178">
            <v>0</v>
          </cell>
          <cell r="J178">
            <v>900</v>
          </cell>
        </row>
        <row r="179">
          <cell r="C179" t="str">
            <v>Jun</v>
          </cell>
          <cell r="E179">
            <v>620000</v>
          </cell>
          <cell r="G179" t="str">
            <v>CC-200</v>
          </cell>
          <cell r="I179">
            <v>200</v>
          </cell>
          <cell r="J179">
            <v>0</v>
          </cell>
        </row>
        <row r="180">
          <cell r="C180" t="str">
            <v>Jun</v>
          </cell>
          <cell r="E180">
            <v>210000</v>
          </cell>
          <cell r="G180" t="str">
            <v>CC-200</v>
          </cell>
          <cell r="I180">
            <v>0</v>
          </cell>
          <cell r="J180">
            <v>200</v>
          </cell>
        </row>
        <row r="181">
          <cell r="C181" t="str">
            <v>Jun</v>
          </cell>
          <cell r="E181">
            <v>100000</v>
          </cell>
          <cell r="G181" t="str">
            <v>CC-100</v>
          </cell>
          <cell r="I181">
            <v>47250</v>
          </cell>
          <cell r="J181">
            <v>0</v>
          </cell>
        </row>
        <row r="182">
          <cell r="C182" t="str">
            <v>Jun</v>
          </cell>
          <cell r="E182">
            <v>120000</v>
          </cell>
          <cell r="G182" t="str">
            <v>CC-100</v>
          </cell>
          <cell r="I182">
            <v>0</v>
          </cell>
          <cell r="J182">
            <v>47250</v>
          </cell>
        </row>
        <row r="183">
          <cell r="C183" t="str">
            <v>Jun</v>
          </cell>
          <cell r="E183">
            <v>200000</v>
          </cell>
          <cell r="G183" t="str">
            <v>CC-300</v>
          </cell>
          <cell r="I183">
            <v>28500</v>
          </cell>
          <cell r="J183">
            <v>0</v>
          </cell>
        </row>
        <row r="184">
          <cell r="C184" t="str">
            <v>Jun</v>
          </cell>
          <cell r="E184">
            <v>100000</v>
          </cell>
          <cell r="G184" t="str">
            <v>CC-300</v>
          </cell>
          <cell r="I184">
            <v>0</v>
          </cell>
          <cell r="J184">
            <v>28500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15F6CD-CA63-4C0C-A12C-DAD3C2B70EDE}">
  <we:reference id="wa200000169" version="1.25.0.0" store="en-US" storeType="OMEX"/>
  <we:alternateReferences>
    <we:reference id="wa200000169" version="1.2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4BBA-06B5-4C42-9EF5-EABD44C87988}">
  <dimension ref="A1:I13"/>
  <sheetViews>
    <sheetView tabSelected="1" workbookViewId="0">
      <selection activeCell="D12" sqref="D12:I12"/>
    </sheetView>
  </sheetViews>
  <sheetFormatPr defaultRowHeight="14.5" x14ac:dyDescent="0.35"/>
  <cols>
    <col min="1" max="1" width="10.1796875" bestFit="1" customWidth="1"/>
    <col min="2" max="2" width="8.26953125" bestFit="1" customWidth="1"/>
    <col min="3" max="3" width="7.1796875" bestFit="1" customWidth="1"/>
    <col min="4" max="4" width="9" bestFit="1" customWidth="1"/>
    <col min="5" max="5" width="7.54296875" bestFit="1" customWidth="1"/>
  </cols>
  <sheetData>
    <row r="1" spans="1:9" ht="14.5" customHeight="1" x14ac:dyDescent="0.35">
      <c r="A1" s="1" t="s">
        <v>3</v>
      </c>
      <c r="B1" s="8"/>
      <c r="C1" s="8"/>
      <c r="D1" s="8"/>
      <c r="E1" s="2"/>
    </row>
    <row r="2" spans="1:9" ht="14.5" customHeight="1" x14ac:dyDescent="0.35">
      <c r="A2" s="4"/>
      <c r="B2" s="12"/>
      <c r="C2" s="12"/>
      <c r="D2" s="12"/>
      <c r="E2" s="5"/>
    </row>
    <row r="3" spans="1:9" x14ac:dyDescent="0.35">
      <c r="A3" s="3" t="s">
        <v>4</v>
      </c>
      <c r="B3" s="9" t="s">
        <v>4</v>
      </c>
      <c r="C3" s="9" t="s">
        <v>4</v>
      </c>
      <c r="D3" s="10" t="s">
        <v>0</v>
      </c>
      <c r="E3" s="11" t="s">
        <v>6</v>
      </c>
    </row>
    <row r="4" spans="1:9" x14ac:dyDescent="0.35">
      <c r="A4" s="6" t="s">
        <v>2</v>
      </c>
      <c r="B4" s="7" t="s">
        <v>5</v>
      </c>
      <c r="C4" s="7" t="s">
        <v>1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</row>
    <row r="5" spans="1:9" x14ac:dyDescent="0.35">
      <c r="A5" s="13" t="s">
        <v>13</v>
      </c>
      <c r="B5" s="13" t="s">
        <v>14</v>
      </c>
      <c r="C5" t="s">
        <v>19</v>
      </c>
      <c r="D5" s="14">
        <f>-1*(SUMIFS('[1]Journal Entries'!$I$5:$I$184,'[1]Journal Entries'!$E$5:$E$184,400000,'[1]Journal Entries'!$G$5:$G$184,$A5,'[1]Journal Entries'!$C$5:$C$184,"Jan")-SUMIFS('[1]Journal Entries'!$J$5:$J$184,'[1]Journal Entries'!$E$5:$E$184,400000,'[1]Journal Entries'!$G$5:$G$184,$A5,'[1]Journal Entries'!$C$5:$C$184,"Jan"))</f>
        <v>18000</v>
      </c>
      <c r="E5" s="14">
        <f>-1*(SUMIFS('[1]Journal Entries'!$I$5:$I$184,'[1]Journal Entries'!$E$5:$E$184,400000,'[1]Journal Entries'!$G$5:$G$184,$A5,'[1]Journal Entries'!$C$5:$C$184,"Feb")-SUMIFS('[1]Journal Entries'!$J$5:$J$184,'[1]Journal Entries'!$E$5:$E$184,400000,'[1]Journal Entries'!$G$5:$G$184,$A5,'[1]Journal Entries'!$C$5:$C$184,"Feb"))</f>
        <v>23000</v>
      </c>
      <c r="F5" s="14">
        <f>-1*(SUMIFS('[1]Journal Entries'!$I$5:$I$184,'[1]Journal Entries'!$E$5:$E$184,400000,'[1]Journal Entries'!$G$5:$G$184,$A5,'[1]Journal Entries'!$C$5:$C$184,"Mar")-SUMIFS('[1]Journal Entries'!$J$5:$J$184,'[1]Journal Entries'!$E$5:$E$184,400000,'[1]Journal Entries'!$G$5:$G$184,$A5,'[1]Journal Entries'!$C$5:$C$184,"Mar"))</f>
        <v>48750</v>
      </c>
      <c r="G5" s="14">
        <f>-1*(SUMIFS('[1]Journal Entries'!$I$5:$I$184,'[1]Journal Entries'!$E$5:$E$184,400000,'[1]Journal Entries'!$G$5:$G$184,$A5,'[1]Journal Entries'!$C$5:$C$184,"Apr")-SUMIFS('[1]Journal Entries'!$J$5:$J$184,'[1]Journal Entries'!$E$5:$E$184,400000,'[1]Journal Entries'!$G$5:$G$184,$A5,'[1]Journal Entries'!$C$5:$C$184,"Apr"))</f>
        <v>52000</v>
      </c>
      <c r="H5" s="14">
        <f>-1*(SUMIFS('[1]Journal Entries'!$I$5:$I$184,'[1]Journal Entries'!$E$5:$E$184,400000,'[1]Journal Entries'!$G$5:$G$184,$A5,'[1]Journal Entries'!$C$5:$C$184,"May")-SUMIFS('[1]Journal Entries'!$J$5:$J$184,'[1]Journal Entries'!$E$5:$E$184,400000,'[1]Journal Entries'!$G$5:$G$184,$A5,'[1]Journal Entries'!$C$5:$C$184,"May"))</f>
        <v>58000</v>
      </c>
      <c r="I5" s="14">
        <f>-1*(SUMIFS('[1]Journal Entries'!$I$5:$I$184,'[1]Journal Entries'!$E$5:$E$184,400000,'[1]Journal Entries'!$G$5:$G$184,$A5,'[1]Journal Entries'!$C$5:$C$184,"Jun")-SUMIFS('[1]Journal Entries'!$J$5:$J$184,'[1]Journal Entries'!$E$5:$E$184,400000,'[1]Journal Entries'!$G$5:$G$184,$A5,'[1]Journal Entries'!$C$5:$C$184,"Jun"))</f>
        <v>63000</v>
      </c>
    </row>
    <row r="6" spans="1:9" x14ac:dyDescent="0.35">
      <c r="A6" s="13" t="s">
        <v>13</v>
      </c>
      <c r="B6" s="13" t="s">
        <v>15</v>
      </c>
      <c r="C6" t="s">
        <v>19</v>
      </c>
      <c r="D6" s="14"/>
      <c r="E6" s="14"/>
      <c r="F6" s="14"/>
      <c r="G6" s="14"/>
      <c r="H6" s="14"/>
      <c r="I6" s="14"/>
    </row>
    <row r="7" spans="1:9" x14ac:dyDescent="0.35">
      <c r="A7" s="13" t="s">
        <v>13</v>
      </c>
      <c r="B7" s="13" t="s">
        <v>16</v>
      </c>
      <c r="C7" t="s">
        <v>19</v>
      </c>
      <c r="D7" s="14">
        <f>(SUMIFS('[1]Journal Entries'!$I$5:$I$184,'[1]Journal Entries'!$E$5:$E$184,600000,'[1]Journal Entries'!$G$5:$G$184,$A7,'[1]Journal Entries'!$C$5:$C$184,"Jan")-SUMIFS('[1]Journal Entries'!$J$5:$J$184,'[1]Journal Entries'!$E$5:$E$184,600000,'[1]Journal Entries'!$G$5:$G$184,$A7,'[1]Journal Entries'!$C$5:$C$184,"Jan")+SUMIFS('[1]Journal Entries'!$I$5:$I$184,'[1]Journal Entries'!$E$5:$E$184,610000,'[1]Journal Entries'!$G$5:$G$184,$A7,'[1]Journal Entries'!$C$5:$C$184,"Jan")-SUMIFS('[1]Journal Entries'!$J$5:$J$184,'[1]Journal Entries'!$E$5:$E$184,610000,'[1]Journal Entries'!$G$5:$G$184,$A7,'[1]Journal Entries'!$C$5:$C$184,"Jan")+SUMIFS('[1]Journal Entries'!$I$5:$I$184,'[1]Journal Entries'!$E$5:$E$184,620000,'[1]Journal Entries'!$G$5:$G$184,$A7,'[1]Journal Entries'!$C$5:$C$184,"Jan")-SUMIFS('[1]Journal Entries'!$J$5:$J$184,'[1]Journal Entries'!$E$5:$E$184,620000,'[1]Journal Entries'!$G$5:$G$184,$A7,'[1]Journal Entries'!$C$5:$C$184,"Jan")+SUMIFS('[1]Journal Entries'!$I$5:$I$184,'[1]Journal Entries'!$E$5:$E$184,630000,'[1]Journal Entries'!$G$5:$G$184,$A7,'[1]Journal Entries'!$C$5:$C$184,"Jan")-SUMIFS('[1]Journal Entries'!$J$5:$J$184,'[1]Journal Entries'!$E$5:$E$184,630000,'[1]Journal Entries'!$G$5:$G$184,$A7,'[1]Journal Entries'!$C$5:$C$184,"Jan")+SUMIFS('[1]Journal Entries'!$I$5:$I$184,'[1]Journal Entries'!$E$5:$E$184,640000,'[1]Journal Entries'!$G$5:$G$184,$A7,'[1]Journal Entries'!$C$5:$C$184,"Jan")-SUMIFS('[1]Journal Entries'!$J$5:$J$184,'[1]Journal Entries'!$E$5:$E$184,640000,'[1]Journal Entries'!$G$5:$G$184,$A7,'[1]Journal Entries'!$C$5:$C$184,"Jan")+SUMIFS('[1]Journal Entries'!$I$5:$I$184,'[1]Journal Entries'!$E$5:$E$184,650000,'[1]Journal Entries'!$G$5:$G$184,$A7,'[1]Journal Entries'!$C$5:$C$184,"Jan")-SUMIFS('[1]Journal Entries'!$J$5:$J$184,'[1]Journal Entries'!$E$5:$E$184,650000,'[1]Journal Entries'!$G$5:$G$184,$A7,'[1]Journal Entries'!$C$5:$C$184,"Jan"))</f>
        <v>5900</v>
      </c>
      <c r="E7" s="14">
        <f>(SUMIFS('[1]Journal Entries'!$I$5:$I$184,'[1]Journal Entries'!$E$5:$E$184,600000,'[1]Journal Entries'!$G$5:$G$184,$A7,'[1]Journal Entries'!$C$5:$C$184,"Feb")-SUMIFS('[1]Journal Entries'!$J$5:$J$184,'[1]Journal Entries'!$E$5:$E$184,600000,'[1]Journal Entries'!$G$5:$G$184,$A7,'[1]Journal Entries'!$C$5:$C$184,"Feb")+SUMIFS('[1]Journal Entries'!$I$5:$I$184,'[1]Journal Entries'!$E$5:$E$184,610000,'[1]Journal Entries'!$G$5:$G$184,$A7,'[1]Journal Entries'!$C$5:$C$184,"Feb")-SUMIFS('[1]Journal Entries'!$J$5:$J$184,'[1]Journal Entries'!$E$5:$E$184,610000,'[1]Journal Entries'!$G$5:$G$184,$A7,'[1]Journal Entries'!$C$5:$C$184,"Feb")+SUMIFS('[1]Journal Entries'!$I$5:$I$184,'[1]Journal Entries'!$E$5:$E$184,620000,'[1]Journal Entries'!$G$5:$G$184,$A7,'[1]Journal Entries'!$C$5:$C$184,"Feb")-SUMIFS('[1]Journal Entries'!$J$5:$J$184,'[1]Journal Entries'!$E$5:$E$184,620000,'[1]Journal Entries'!$G$5:$G$184,$A7,'[1]Journal Entries'!$C$5:$C$184,"Feb")+SUMIFS('[1]Journal Entries'!$I$5:$I$184,'[1]Journal Entries'!$E$5:$E$184,630000,'[1]Journal Entries'!$G$5:$G$184,$A7,'[1]Journal Entries'!$C$5:$C$184,"Feb")-SUMIFS('[1]Journal Entries'!$J$5:$J$184,'[1]Journal Entries'!$E$5:$E$184,630000,'[1]Journal Entries'!$G$5:$G$184,$A7,'[1]Journal Entries'!$C$5:$C$184,"Feb")+SUMIFS('[1]Journal Entries'!$I$5:$I$184,'[1]Journal Entries'!$E$5:$E$184,640000,'[1]Journal Entries'!$G$5:$G$184,$A7,'[1]Journal Entries'!$C$5:$C$184,"Feb")-SUMIFS('[1]Journal Entries'!$J$5:$J$184,'[1]Journal Entries'!$E$5:$E$184,640000,'[1]Journal Entries'!$G$5:$G$184,$A7,'[1]Journal Entries'!$C$5:$C$184,"Feb")+SUMIFS('[1]Journal Entries'!$I$5:$I$184,'[1]Journal Entries'!$E$5:$E$184,650000,'[1]Journal Entries'!$G$5:$G$184,$A7,'[1]Journal Entries'!$C$5:$C$184,"Feb")-SUMIFS('[1]Journal Entries'!$J$5:$J$184,'[1]Journal Entries'!$E$5:$E$184,650000,'[1]Journal Entries'!$G$5:$G$184,$A7,'[1]Journal Entries'!$C$5:$C$184,"Feb"))</f>
        <v>6100</v>
      </c>
      <c r="F7" s="14">
        <f>(SUMIFS('[1]Journal Entries'!$I$5:$I$184,'[1]Journal Entries'!$E$5:$E$184,600000,'[1]Journal Entries'!$G$5:$G$184,$A7,'[1]Journal Entries'!$C$5:$C$184,"Mar")-SUMIFS('[1]Journal Entries'!$J$5:$J$184,'[1]Journal Entries'!$E$5:$E$184,600000,'[1]Journal Entries'!$G$5:$G$184,$A7,'[1]Journal Entries'!$C$5:$C$184,"Mar")+SUMIFS('[1]Journal Entries'!$I$5:$I$184,'[1]Journal Entries'!$E$5:$E$184,610000,'[1]Journal Entries'!$G$5:$G$184,$A7,'[1]Journal Entries'!$C$5:$C$184,"Mar")-SUMIFS('[1]Journal Entries'!$J$5:$J$184,'[1]Journal Entries'!$E$5:$E$184,610000,'[1]Journal Entries'!$G$5:$G$184,$A7,'[1]Journal Entries'!$C$5:$C$184,"Mar")+SUMIFS('[1]Journal Entries'!$I$5:$I$184,'[1]Journal Entries'!$E$5:$E$184,620000,'[1]Journal Entries'!$G$5:$G$184,$A7,'[1]Journal Entries'!$C$5:$C$184,"Mar")-SUMIFS('[1]Journal Entries'!$J$5:$J$184,'[1]Journal Entries'!$E$5:$E$184,620000,'[1]Journal Entries'!$G$5:$G$184,$A7,'[1]Journal Entries'!$C$5:$C$184,"Mar")+SUMIFS('[1]Journal Entries'!$I$5:$I$184,'[1]Journal Entries'!$E$5:$E$184,630000,'[1]Journal Entries'!$G$5:$G$184,$A7,'[1]Journal Entries'!$C$5:$C$184,"Mar")-SUMIFS('[1]Journal Entries'!$J$5:$J$184,'[1]Journal Entries'!$E$5:$E$184,630000,'[1]Journal Entries'!$G$5:$G$184,$A7,'[1]Journal Entries'!$C$5:$C$184,"Mar")+SUMIFS('[1]Journal Entries'!$I$5:$I$184,'[1]Journal Entries'!$E$5:$E$184,640000,'[1]Journal Entries'!$G$5:$G$184,$A7,'[1]Journal Entries'!$C$5:$C$184,"Mar")-SUMIFS('[1]Journal Entries'!$J$5:$J$184,'[1]Journal Entries'!$E$5:$E$184,640000,'[1]Journal Entries'!$G$5:$G$184,$A7,'[1]Journal Entries'!$C$5:$C$184,"Mar")+SUMIFS('[1]Journal Entries'!$I$5:$I$184,'[1]Journal Entries'!$E$5:$E$184,650000,'[1]Journal Entries'!$G$5:$G$184,$A7,'[1]Journal Entries'!$C$5:$C$184,"Mar")-SUMIFS('[1]Journal Entries'!$J$5:$J$184,'[1]Journal Entries'!$E$5:$E$184,650000,'[1]Journal Entries'!$G$5:$G$184,$A7,'[1]Journal Entries'!$C$5:$C$184,"Mar"))</f>
        <v>6800</v>
      </c>
      <c r="G7" s="14">
        <f>(SUMIFS('[1]Journal Entries'!$I$5:$I$184,'[1]Journal Entries'!$E$5:$E$184,600000,'[1]Journal Entries'!$G$5:$G$184,$A7,'[1]Journal Entries'!$C$5:$C$184,"Apr")-SUMIFS('[1]Journal Entries'!$J$5:$J$184,'[1]Journal Entries'!$E$5:$E$184,600000,'[1]Journal Entries'!$G$5:$G$184,$A7,'[1]Journal Entries'!$C$5:$C$184,"Apr")+SUMIFS('[1]Journal Entries'!$I$5:$I$184,'[1]Journal Entries'!$E$5:$E$184,610000,'[1]Journal Entries'!$G$5:$G$184,$A7,'[1]Journal Entries'!$C$5:$C$184,"Apr")-SUMIFS('[1]Journal Entries'!$J$5:$J$184,'[1]Journal Entries'!$E$5:$E$184,610000,'[1]Journal Entries'!$G$5:$G$184,$A7,'[1]Journal Entries'!$C$5:$C$184,"Apr")+SUMIFS('[1]Journal Entries'!$I$5:$I$184,'[1]Journal Entries'!$E$5:$E$184,620000,'[1]Journal Entries'!$G$5:$G$184,$A7,'[1]Journal Entries'!$C$5:$C$184,"Apr")-SUMIFS('[1]Journal Entries'!$J$5:$J$184,'[1]Journal Entries'!$E$5:$E$184,620000,'[1]Journal Entries'!$G$5:$G$184,$A7,'[1]Journal Entries'!$C$5:$C$184,"Apr")+SUMIFS('[1]Journal Entries'!$I$5:$I$184,'[1]Journal Entries'!$E$5:$E$184,630000,'[1]Journal Entries'!$G$5:$G$184,$A7,'[1]Journal Entries'!$C$5:$C$184,"Apr")-SUMIFS('[1]Journal Entries'!$J$5:$J$184,'[1]Journal Entries'!$E$5:$E$184,630000,'[1]Journal Entries'!$G$5:$G$184,$A7,'[1]Journal Entries'!$C$5:$C$184,"Apr")+SUMIFS('[1]Journal Entries'!$I$5:$I$184,'[1]Journal Entries'!$E$5:$E$184,640000,'[1]Journal Entries'!$G$5:$G$184,$A7,'[1]Journal Entries'!$C$5:$C$184,"Apr")-SUMIFS('[1]Journal Entries'!$J$5:$J$184,'[1]Journal Entries'!$E$5:$E$184,640000,'[1]Journal Entries'!$G$5:$G$184,$A7,'[1]Journal Entries'!$C$5:$C$184,"Apr")+SUMIFS('[1]Journal Entries'!$I$5:$I$184,'[1]Journal Entries'!$E$5:$E$184,650000,'[1]Journal Entries'!$G$5:$G$184,$A7,'[1]Journal Entries'!$C$5:$C$184,"Apr")-SUMIFS('[1]Journal Entries'!$J$5:$J$184,'[1]Journal Entries'!$E$5:$E$184,650000,'[1]Journal Entries'!$G$5:$G$184,$A7,'[1]Journal Entries'!$C$5:$C$184,"Apr"))</f>
        <v>7000</v>
      </c>
      <c r="H7" s="14">
        <f>(SUMIFS('[1]Journal Entries'!$I$5:$I$184,'[1]Journal Entries'!$E$5:$E$184,600000,'[1]Journal Entries'!$G$5:$G$184,$A7,'[1]Journal Entries'!$C$5:$C$184,"May")-SUMIFS('[1]Journal Entries'!$J$5:$J$184,'[1]Journal Entries'!$E$5:$E$184,600000,'[1]Journal Entries'!$G$5:$G$184,$A7,'[1]Journal Entries'!$C$5:$C$184,"May")+SUMIFS('[1]Journal Entries'!$I$5:$I$184,'[1]Journal Entries'!$E$5:$E$184,610000,'[1]Journal Entries'!$G$5:$G$184,$A7,'[1]Journal Entries'!$C$5:$C$184,"May")-SUMIFS('[1]Journal Entries'!$J$5:$J$184,'[1]Journal Entries'!$E$5:$E$184,610000,'[1]Journal Entries'!$G$5:$G$184,$A7,'[1]Journal Entries'!$C$5:$C$184,"May")+SUMIFS('[1]Journal Entries'!$I$5:$I$184,'[1]Journal Entries'!$E$5:$E$184,620000,'[1]Journal Entries'!$G$5:$G$184,$A7,'[1]Journal Entries'!$C$5:$C$184,"May")-SUMIFS('[1]Journal Entries'!$J$5:$J$184,'[1]Journal Entries'!$E$5:$E$184,620000,'[1]Journal Entries'!$G$5:$G$184,$A7,'[1]Journal Entries'!$C$5:$C$184,"May")+SUMIFS('[1]Journal Entries'!$I$5:$I$184,'[1]Journal Entries'!$E$5:$E$184,630000,'[1]Journal Entries'!$G$5:$G$184,$A7,'[1]Journal Entries'!$C$5:$C$184,"May")-SUMIFS('[1]Journal Entries'!$J$5:$J$184,'[1]Journal Entries'!$E$5:$E$184,630000,'[1]Journal Entries'!$G$5:$G$184,$A7,'[1]Journal Entries'!$C$5:$C$184,"May")+SUMIFS('[1]Journal Entries'!$I$5:$I$184,'[1]Journal Entries'!$E$5:$E$184,640000,'[1]Journal Entries'!$G$5:$G$184,$A7,'[1]Journal Entries'!$C$5:$C$184,"May")-SUMIFS('[1]Journal Entries'!$J$5:$J$184,'[1]Journal Entries'!$E$5:$E$184,640000,'[1]Journal Entries'!$G$5:$G$184,$A7,'[1]Journal Entries'!$C$5:$C$184,"May")+SUMIFS('[1]Journal Entries'!$I$5:$I$184,'[1]Journal Entries'!$E$5:$E$184,650000,'[1]Journal Entries'!$G$5:$G$184,$A7,'[1]Journal Entries'!$C$5:$C$184,"May")-SUMIFS('[1]Journal Entries'!$J$5:$J$184,'[1]Journal Entries'!$E$5:$E$184,650000,'[1]Journal Entries'!$G$5:$G$184,$A7,'[1]Journal Entries'!$C$5:$C$184,"May"))</f>
        <v>7200</v>
      </c>
      <c r="I7" s="14">
        <f>(SUMIFS('[1]Journal Entries'!$I$5:$I$184,'[1]Journal Entries'!$E$5:$E$184,600000,'[1]Journal Entries'!$G$5:$G$184,$A7,'[1]Journal Entries'!$C$5:$C$184,"Jun")-SUMIFS('[1]Journal Entries'!$J$5:$J$184,'[1]Journal Entries'!$E$5:$E$184,600000,'[1]Journal Entries'!$G$5:$G$184,$A7,'[1]Journal Entries'!$C$5:$C$184,"Jun")+SUMIFS('[1]Journal Entries'!$I$5:$I$184,'[1]Journal Entries'!$E$5:$E$184,610000,'[1]Journal Entries'!$G$5:$G$184,$A7,'[1]Journal Entries'!$C$5:$C$184,"Jun")-SUMIFS('[1]Journal Entries'!$J$5:$J$184,'[1]Journal Entries'!$E$5:$E$184,610000,'[1]Journal Entries'!$G$5:$G$184,$A7,'[1]Journal Entries'!$C$5:$C$184,"Jun")+SUMIFS('[1]Journal Entries'!$I$5:$I$184,'[1]Journal Entries'!$E$5:$E$184,620000,'[1]Journal Entries'!$G$5:$G$184,$A7,'[1]Journal Entries'!$C$5:$C$184,"Jun")-SUMIFS('[1]Journal Entries'!$J$5:$J$184,'[1]Journal Entries'!$E$5:$E$184,620000,'[1]Journal Entries'!$G$5:$G$184,$A7,'[1]Journal Entries'!$C$5:$C$184,"Jun")+SUMIFS('[1]Journal Entries'!$I$5:$I$184,'[1]Journal Entries'!$E$5:$E$184,630000,'[1]Journal Entries'!$G$5:$G$184,$A7,'[1]Journal Entries'!$C$5:$C$184,"Jun")-SUMIFS('[1]Journal Entries'!$J$5:$J$184,'[1]Journal Entries'!$E$5:$E$184,630000,'[1]Journal Entries'!$G$5:$G$184,$A7,'[1]Journal Entries'!$C$5:$C$184,"Jun")+SUMIFS('[1]Journal Entries'!$I$5:$I$184,'[1]Journal Entries'!$E$5:$E$184,640000,'[1]Journal Entries'!$G$5:$G$184,$A7,'[1]Journal Entries'!$C$5:$C$184,"Jun")-SUMIFS('[1]Journal Entries'!$J$5:$J$184,'[1]Journal Entries'!$E$5:$E$184,640000,'[1]Journal Entries'!$G$5:$G$184,$A7,'[1]Journal Entries'!$C$5:$C$184,"Jun")+SUMIFS('[1]Journal Entries'!$I$5:$I$184,'[1]Journal Entries'!$E$5:$E$184,650000,'[1]Journal Entries'!$G$5:$G$184,$A7,'[1]Journal Entries'!$C$5:$C$184,"Jun")-SUMIFS('[1]Journal Entries'!$J$5:$J$184,'[1]Journal Entries'!$E$5:$E$184,650000,'[1]Journal Entries'!$G$5:$G$184,$A7,'[1]Journal Entries'!$C$5:$C$184,"Jun"))</f>
        <v>7400</v>
      </c>
    </row>
    <row r="8" spans="1:9" x14ac:dyDescent="0.35">
      <c r="A8" s="13" t="s">
        <v>17</v>
      </c>
      <c r="B8" s="13" t="s">
        <v>14</v>
      </c>
      <c r="C8" t="s">
        <v>19</v>
      </c>
      <c r="D8" s="14">
        <f>-1*(SUMIFS('[1]Journal Entries'!$I$5:$I$184,'[1]Journal Entries'!$E$5:$E$184,400000,'[1]Journal Entries'!$G$5:$G$184,$A8,'[1]Journal Entries'!$C$5:$C$184,"Jan")-SUMIFS('[1]Journal Entries'!$J$5:$J$184,'[1]Journal Entries'!$E$5:$E$184,400000,'[1]Journal Entries'!$G$5:$G$184,$A8,'[1]Journal Entries'!$C$5:$C$184,"Jan"))</f>
        <v>0</v>
      </c>
      <c r="E8" s="14">
        <f>-1*(SUMIFS('[1]Journal Entries'!$I$5:$I$184,'[1]Journal Entries'!$E$5:$E$184,400000,'[1]Journal Entries'!$G$5:$G$184,$A8,'[1]Journal Entries'!$C$5:$C$184,"Feb")-SUMIFS('[1]Journal Entries'!$J$5:$J$184,'[1]Journal Entries'!$E$5:$E$184,400000,'[1]Journal Entries'!$G$5:$G$184,$A8,'[1]Journal Entries'!$C$5:$C$184,"Feb"))</f>
        <v>0</v>
      </c>
      <c r="F8" s="14">
        <f>-1*(SUMIFS('[1]Journal Entries'!$I$5:$I$184,'[1]Journal Entries'!$E$5:$E$184,400000,'[1]Journal Entries'!$G$5:$G$184,$A8,'[1]Journal Entries'!$C$5:$C$184,"Mar")-SUMIFS('[1]Journal Entries'!$J$5:$J$184,'[1]Journal Entries'!$E$5:$E$184,400000,'[1]Journal Entries'!$G$5:$G$184,$A8,'[1]Journal Entries'!$C$5:$C$184,"Mar"))</f>
        <v>0</v>
      </c>
      <c r="G8" s="14">
        <f>-1*(SUMIFS('[1]Journal Entries'!$I$5:$I$184,'[1]Journal Entries'!$E$5:$E$184,400000,'[1]Journal Entries'!$G$5:$G$184,$A8,'[1]Journal Entries'!$C$5:$C$184,"Apr")-SUMIFS('[1]Journal Entries'!$J$5:$J$184,'[1]Journal Entries'!$E$5:$E$184,400000,'[1]Journal Entries'!$G$5:$G$184,$A8,'[1]Journal Entries'!$C$5:$C$184,"Apr"))</f>
        <v>0</v>
      </c>
      <c r="H8" s="14">
        <f>-1*(SUMIFS('[1]Journal Entries'!$I$5:$I$184,'[1]Journal Entries'!$E$5:$E$184,400000,'[1]Journal Entries'!$G$5:$G$184,$A8,'[1]Journal Entries'!$C$5:$C$184,"May")-SUMIFS('[1]Journal Entries'!$J$5:$J$184,'[1]Journal Entries'!$E$5:$E$184,400000,'[1]Journal Entries'!$G$5:$G$184,$A8,'[1]Journal Entries'!$C$5:$C$184,"May"))</f>
        <v>0</v>
      </c>
      <c r="I8" s="14">
        <f>-1*(SUMIFS('[1]Journal Entries'!$I$5:$I$184,'[1]Journal Entries'!$E$5:$E$184,400000,'[1]Journal Entries'!$G$5:$G$184,$A8,'[1]Journal Entries'!$C$5:$C$184,"Jun")-SUMIFS('[1]Journal Entries'!$J$5:$J$184,'[1]Journal Entries'!$E$5:$E$184,400000,'[1]Journal Entries'!$G$5:$G$184,$A8,'[1]Journal Entries'!$C$5:$C$184,"Jun"))</f>
        <v>0</v>
      </c>
    </row>
    <row r="9" spans="1:9" x14ac:dyDescent="0.35">
      <c r="A9" s="13" t="s">
        <v>17</v>
      </c>
      <c r="B9" s="13" t="s">
        <v>15</v>
      </c>
      <c r="C9" t="s">
        <v>19</v>
      </c>
      <c r="D9" s="14">
        <f>(SUMIFS('[1]Journal Entries'!$I$5:$I$184,'[1]Journal Entries'!$E$5:$E$184,500000,'[1]Journal Entries'!$G$5:$G$184,$A9,'[1]Journal Entries'!$C$5:$C$184,"Jan")-SUMIFS('[1]Journal Entries'!$J$5:$J$184,'[1]Journal Entries'!$E$5:$E$184,500000,'[1]Journal Entries'!$G$5:$G$184,$A9,'[1]Journal Entries'!$C$5:$C$184,"Jan"))</f>
        <v>12000</v>
      </c>
      <c r="E9" s="14">
        <f>(SUMIFS('[1]Journal Entries'!$I$5:$I$184,'[1]Journal Entries'!$E$5:$E$184,500000,'[1]Journal Entries'!$G$5:$G$184,$A9,'[1]Journal Entries'!$C$5:$C$184,"Feb")-SUMIFS('[1]Journal Entries'!$J$5:$J$184,'[1]Journal Entries'!$E$5:$E$184,500000,'[1]Journal Entries'!$G$5:$G$184,$A9,'[1]Journal Entries'!$C$5:$C$184,"Feb"))</f>
        <v>18500</v>
      </c>
      <c r="F9" s="14">
        <f>(SUMIFS('[1]Journal Entries'!$I$5:$I$184,'[1]Journal Entries'!$E$5:$E$184,500000,'[1]Journal Entries'!$G$5:$G$184,$A9,'[1]Journal Entries'!$C$5:$C$184,"Mar")-SUMIFS('[1]Journal Entries'!$J$5:$J$184,'[1]Journal Entries'!$E$5:$E$184,500000,'[1]Journal Entries'!$G$5:$G$184,$A9,'[1]Journal Entries'!$C$5:$C$184,"Mar"))</f>
        <v>29400</v>
      </c>
      <c r="G9" s="14">
        <f>(SUMIFS('[1]Journal Entries'!$I$5:$I$184,'[1]Journal Entries'!$E$5:$E$184,500000,'[1]Journal Entries'!$G$5:$G$184,$A9,'[1]Journal Entries'!$C$5:$C$184,"Apr")-SUMIFS('[1]Journal Entries'!$J$5:$J$184,'[1]Journal Entries'!$E$5:$E$184,500000,'[1]Journal Entries'!$G$5:$G$184,$A9,'[1]Journal Entries'!$C$5:$C$184,"Apr"))</f>
        <v>30000</v>
      </c>
      <c r="H9" s="14">
        <f>(SUMIFS('[1]Journal Entries'!$I$5:$I$184,'[1]Journal Entries'!$E$5:$E$184,500000,'[1]Journal Entries'!$G$5:$G$184,$A9,'[1]Journal Entries'!$C$5:$C$184,"May")-SUMIFS('[1]Journal Entries'!$J$5:$J$184,'[1]Journal Entries'!$E$5:$E$184,500000,'[1]Journal Entries'!$G$5:$G$184,$A9,'[1]Journal Entries'!$C$5:$C$184,"May"))</f>
        <v>32000</v>
      </c>
      <c r="I9" s="14">
        <f>(SUMIFS('[1]Journal Entries'!$I$5:$I$184,'[1]Journal Entries'!$E$5:$E$184,500000,'[1]Journal Entries'!$G$5:$G$184,$A9,'[1]Journal Entries'!$C$5:$C$184,"Jun")-SUMIFS('[1]Journal Entries'!$J$5:$J$184,'[1]Journal Entries'!$E$5:$E$184,500000,'[1]Journal Entries'!$G$5:$G$184,$A9,'[1]Journal Entries'!$C$5:$C$184,"Jun"))</f>
        <v>34000</v>
      </c>
    </row>
    <row r="10" spans="1:9" x14ac:dyDescent="0.35">
      <c r="A10" s="13" t="s">
        <v>17</v>
      </c>
      <c r="B10" s="13" t="s">
        <v>16</v>
      </c>
      <c r="C10" t="s">
        <v>19</v>
      </c>
      <c r="D10" s="14">
        <f>(SUMIFS('[1]Journal Entries'!$I$5:$I$184,'[1]Journal Entries'!$E$5:$E$184,600000,'[1]Journal Entries'!$G$5:$G$184,$A10,'[1]Journal Entries'!$C$5:$C$184,"Jan")-SUMIFS('[1]Journal Entries'!$J$5:$J$184,'[1]Journal Entries'!$E$5:$E$184,600000,'[1]Journal Entries'!$G$5:$G$184,$A10,'[1]Journal Entries'!$C$5:$C$184,"Jan")+SUMIFS('[1]Journal Entries'!$I$5:$I$184,'[1]Journal Entries'!$E$5:$E$184,610000,'[1]Journal Entries'!$G$5:$G$184,$A10,'[1]Journal Entries'!$C$5:$C$184,"Jan")-SUMIFS('[1]Journal Entries'!$J$5:$J$184,'[1]Journal Entries'!$E$5:$E$184,610000,'[1]Journal Entries'!$G$5:$G$184,$A10,'[1]Journal Entries'!$C$5:$C$184,"Jan")+SUMIFS('[1]Journal Entries'!$I$5:$I$184,'[1]Journal Entries'!$E$5:$E$184,620000,'[1]Journal Entries'!$G$5:$G$184,$A10,'[1]Journal Entries'!$C$5:$C$184,"Jan")-SUMIFS('[1]Journal Entries'!$J$5:$J$184,'[1]Journal Entries'!$E$5:$E$184,620000,'[1]Journal Entries'!$G$5:$G$184,$A10,'[1]Journal Entries'!$C$5:$C$184,"Jan")+SUMIFS('[1]Journal Entries'!$I$5:$I$184,'[1]Journal Entries'!$E$5:$E$184,630000,'[1]Journal Entries'!$G$5:$G$184,$A10,'[1]Journal Entries'!$C$5:$C$184,"Jan")-SUMIFS('[1]Journal Entries'!$J$5:$J$184,'[1]Journal Entries'!$E$5:$E$184,630000,'[1]Journal Entries'!$G$5:$G$184,$A10,'[1]Journal Entries'!$C$5:$C$184,"Jan")+SUMIFS('[1]Journal Entries'!$I$5:$I$184,'[1]Journal Entries'!$E$5:$E$184,640000,'[1]Journal Entries'!$G$5:$G$184,$A10,'[1]Journal Entries'!$C$5:$C$184,"Jan")-SUMIFS('[1]Journal Entries'!$J$5:$J$184,'[1]Journal Entries'!$E$5:$E$184,640000,'[1]Journal Entries'!$G$5:$G$184,$A10,'[1]Journal Entries'!$C$5:$C$184,"Jan")+SUMIFS('[1]Journal Entries'!$I$5:$I$184,'[1]Journal Entries'!$E$5:$E$184,650000,'[1]Journal Entries'!$G$5:$G$184,$A10,'[1]Journal Entries'!$C$5:$C$184,"Jan")-SUMIFS('[1]Journal Entries'!$J$5:$J$184,'[1]Journal Entries'!$E$5:$E$184,650000,'[1]Journal Entries'!$G$5:$G$184,$A10,'[1]Journal Entries'!$C$5:$C$184,"Jan"))</f>
        <v>5900</v>
      </c>
      <c r="E10" s="14">
        <f>(SUMIFS('[1]Journal Entries'!$I$5:$I$184,'[1]Journal Entries'!$E$5:$E$184,600000,'[1]Journal Entries'!$G$5:$G$184,$A10,'[1]Journal Entries'!$C$5:$C$184,"Feb")-SUMIFS('[1]Journal Entries'!$J$5:$J$184,'[1]Journal Entries'!$E$5:$E$184,600000,'[1]Journal Entries'!$G$5:$G$184,$A10,'[1]Journal Entries'!$C$5:$C$184,"Feb")+SUMIFS('[1]Journal Entries'!$I$5:$I$184,'[1]Journal Entries'!$E$5:$E$184,610000,'[1]Journal Entries'!$G$5:$G$184,$A10,'[1]Journal Entries'!$C$5:$C$184,"Feb")-SUMIFS('[1]Journal Entries'!$J$5:$J$184,'[1]Journal Entries'!$E$5:$E$184,610000,'[1]Journal Entries'!$G$5:$G$184,$A10,'[1]Journal Entries'!$C$5:$C$184,"Feb")+SUMIFS('[1]Journal Entries'!$I$5:$I$184,'[1]Journal Entries'!$E$5:$E$184,620000,'[1]Journal Entries'!$G$5:$G$184,$A10,'[1]Journal Entries'!$C$5:$C$184,"Feb")-SUMIFS('[1]Journal Entries'!$J$5:$J$184,'[1]Journal Entries'!$E$5:$E$184,620000,'[1]Journal Entries'!$G$5:$G$184,$A10,'[1]Journal Entries'!$C$5:$C$184,"Feb")+SUMIFS('[1]Journal Entries'!$I$5:$I$184,'[1]Journal Entries'!$E$5:$E$184,630000,'[1]Journal Entries'!$G$5:$G$184,$A10,'[1]Journal Entries'!$C$5:$C$184,"Feb")-SUMIFS('[1]Journal Entries'!$J$5:$J$184,'[1]Journal Entries'!$E$5:$E$184,630000,'[1]Journal Entries'!$G$5:$G$184,$A10,'[1]Journal Entries'!$C$5:$C$184,"Feb")+SUMIFS('[1]Journal Entries'!$I$5:$I$184,'[1]Journal Entries'!$E$5:$E$184,640000,'[1]Journal Entries'!$G$5:$G$184,$A10,'[1]Journal Entries'!$C$5:$C$184,"Feb")-SUMIFS('[1]Journal Entries'!$J$5:$J$184,'[1]Journal Entries'!$E$5:$E$184,640000,'[1]Journal Entries'!$G$5:$G$184,$A10,'[1]Journal Entries'!$C$5:$C$184,"Feb")+SUMIFS('[1]Journal Entries'!$I$5:$I$184,'[1]Journal Entries'!$E$5:$E$184,650000,'[1]Journal Entries'!$G$5:$G$184,$A10,'[1]Journal Entries'!$C$5:$C$184,"Feb")-SUMIFS('[1]Journal Entries'!$J$5:$J$184,'[1]Journal Entries'!$E$5:$E$184,650000,'[1]Journal Entries'!$G$5:$G$184,$A10,'[1]Journal Entries'!$C$5:$C$184,"Feb"))</f>
        <v>5900</v>
      </c>
      <c r="F10" s="14">
        <f>(SUMIFS('[1]Journal Entries'!$I$5:$I$184,'[1]Journal Entries'!$E$5:$E$184,600000,'[1]Journal Entries'!$G$5:$G$184,$A10,'[1]Journal Entries'!$C$5:$C$184,"Mar")-SUMIFS('[1]Journal Entries'!$J$5:$J$184,'[1]Journal Entries'!$E$5:$E$184,600000,'[1]Journal Entries'!$G$5:$G$184,$A10,'[1]Journal Entries'!$C$5:$C$184,"Mar")+SUMIFS('[1]Journal Entries'!$I$5:$I$184,'[1]Journal Entries'!$E$5:$E$184,610000,'[1]Journal Entries'!$G$5:$G$184,$A10,'[1]Journal Entries'!$C$5:$C$184,"Mar")-SUMIFS('[1]Journal Entries'!$J$5:$J$184,'[1]Journal Entries'!$E$5:$E$184,610000,'[1]Journal Entries'!$G$5:$G$184,$A10,'[1]Journal Entries'!$C$5:$C$184,"Mar")+SUMIFS('[1]Journal Entries'!$I$5:$I$184,'[1]Journal Entries'!$E$5:$E$184,620000,'[1]Journal Entries'!$G$5:$G$184,$A10,'[1]Journal Entries'!$C$5:$C$184,"Mar")-SUMIFS('[1]Journal Entries'!$J$5:$J$184,'[1]Journal Entries'!$E$5:$E$184,620000,'[1]Journal Entries'!$G$5:$G$184,$A10,'[1]Journal Entries'!$C$5:$C$184,"Mar")+SUMIFS('[1]Journal Entries'!$I$5:$I$184,'[1]Journal Entries'!$E$5:$E$184,630000,'[1]Journal Entries'!$G$5:$G$184,$A10,'[1]Journal Entries'!$C$5:$C$184,"Mar")-SUMIFS('[1]Journal Entries'!$J$5:$J$184,'[1]Journal Entries'!$E$5:$E$184,630000,'[1]Journal Entries'!$G$5:$G$184,$A10,'[1]Journal Entries'!$C$5:$C$184,"Mar")+SUMIFS('[1]Journal Entries'!$I$5:$I$184,'[1]Journal Entries'!$E$5:$E$184,640000,'[1]Journal Entries'!$G$5:$G$184,$A10,'[1]Journal Entries'!$C$5:$C$184,"Mar")-SUMIFS('[1]Journal Entries'!$J$5:$J$184,'[1]Journal Entries'!$E$5:$E$184,640000,'[1]Journal Entries'!$G$5:$G$184,$A10,'[1]Journal Entries'!$C$5:$C$184,"Mar")+SUMIFS('[1]Journal Entries'!$I$5:$I$184,'[1]Journal Entries'!$E$5:$E$184,650000,'[1]Journal Entries'!$G$5:$G$184,$A10,'[1]Journal Entries'!$C$5:$C$184,"Mar")-SUMIFS('[1]Journal Entries'!$J$5:$J$184,'[1]Journal Entries'!$E$5:$E$184,650000,'[1]Journal Entries'!$G$5:$G$184,$A10,'[1]Journal Entries'!$C$5:$C$184,"Mar"))</f>
        <v>6050</v>
      </c>
      <c r="G10" s="14">
        <f>(SUMIFS('[1]Journal Entries'!$I$5:$I$184,'[1]Journal Entries'!$E$5:$E$184,600000,'[1]Journal Entries'!$G$5:$G$184,$A10,'[1]Journal Entries'!$C$5:$C$184,"Apr")-SUMIFS('[1]Journal Entries'!$J$5:$J$184,'[1]Journal Entries'!$E$5:$E$184,600000,'[1]Journal Entries'!$G$5:$G$184,$A10,'[1]Journal Entries'!$C$5:$C$184,"Apr")+SUMIFS('[1]Journal Entries'!$I$5:$I$184,'[1]Journal Entries'!$E$5:$E$184,610000,'[1]Journal Entries'!$G$5:$G$184,$A10,'[1]Journal Entries'!$C$5:$C$184,"Apr")-SUMIFS('[1]Journal Entries'!$J$5:$J$184,'[1]Journal Entries'!$E$5:$E$184,610000,'[1]Journal Entries'!$G$5:$G$184,$A10,'[1]Journal Entries'!$C$5:$C$184,"Apr")+SUMIFS('[1]Journal Entries'!$I$5:$I$184,'[1]Journal Entries'!$E$5:$E$184,620000,'[1]Journal Entries'!$G$5:$G$184,$A10,'[1]Journal Entries'!$C$5:$C$184,"Apr")-SUMIFS('[1]Journal Entries'!$J$5:$J$184,'[1]Journal Entries'!$E$5:$E$184,620000,'[1]Journal Entries'!$G$5:$G$184,$A10,'[1]Journal Entries'!$C$5:$C$184,"Apr")+SUMIFS('[1]Journal Entries'!$I$5:$I$184,'[1]Journal Entries'!$E$5:$E$184,630000,'[1]Journal Entries'!$G$5:$G$184,$A10,'[1]Journal Entries'!$C$5:$C$184,"Apr")-SUMIFS('[1]Journal Entries'!$J$5:$J$184,'[1]Journal Entries'!$E$5:$E$184,630000,'[1]Journal Entries'!$G$5:$G$184,$A10,'[1]Journal Entries'!$C$5:$C$184,"Apr")+SUMIFS('[1]Journal Entries'!$I$5:$I$184,'[1]Journal Entries'!$E$5:$E$184,640000,'[1]Journal Entries'!$G$5:$G$184,$A10,'[1]Journal Entries'!$C$5:$C$184,"Apr")-SUMIFS('[1]Journal Entries'!$J$5:$J$184,'[1]Journal Entries'!$E$5:$E$184,640000,'[1]Journal Entries'!$G$5:$G$184,$A10,'[1]Journal Entries'!$C$5:$C$184,"Apr")+SUMIFS('[1]Journal Entries'!$I$5:$I$184,'[1]Journal Entries'!$E$5:$E$184,650000,'[1]Journal Entries'!$G$5:$G$184,$A10,'[1]Journal Entries'!$C$5:$C$184,"Apr")-SUMIFS('[1]Journal Entries'!$J$5:$J$184,'[1]Journal Entries'!$E$5:$E$184,650000,'[1]Journal Entries'!$G$5:$G$184,$A10,'[1]Journal Entries'!$C$5:$C$184,"Apr"))</f>
        <v>5800</v>
      </c>
      <c r="H10" s="14">
        <f>(SUMIFS('[1]Journal Entries'!$I$5:$I$184,'[1]Journal Entries'!$E$5:$E$184,600000,'[1]Journal Entries'!$G$5:$G$184,$A10,'[1]Journal Entries'!$C$5:$C$184,"May")-SUMIFS('[1]Journal Entries'!$J$5:$J$184,'[1]Journal Entries'!$E$5:$E$184,600000,'[1]Journal Entries'!$G$5:$G$184,$A10,'[1]Journal Entries'!$C$5:$C$184,"May")+SUMIFS('[1]Journal Entries'!$I$5:$I$184,'[1]Journal Entries'!$E$5:$E$184,610000,'[1]Journal Entries'!$G$5:$G$184,$A10,'[1]Journal Entries'!$C$5:$C$184,"May")-SUMIFS('[1]Journal Entries'!$J$5:$J$184,'[1]Journal Entries'!$E$5:$E$184,610000,'[1]Journal Entries'!$G$5:$G$184,$A10,'[1]Journal Entries'!$C$5:$C$184,"May")+SUMIFS('[1]Journal Entries'!$I$5:$I$184,'[1]Journal Entries'!$E$5:$E$184,620000,'[1]Journal Entries'!$G$5:$G$184,$A10,'[1]Journal Entries'!$C$5:$C$184,"May")-SUMIFS('[1]Journal Entries'!$J$5:$J$184,'[1]Journal Entries'!$E$5:$E$184,620000,'[1]Journal Entries'!$G$5:$G$184,$A10,'[1]Journal Entries'!$C$5:$C$184,"May")+SUMIFS('[1]Journal Entries'!$I$5:$I$184,'[1]Journal Entries'!$E$5:$E$184,630000,'[1]Journal Entries'!$G$5:$G$184,$A10,'[1]Journal Entries'!$C$5:$C$184,"May")-SUMIFS('[1]Journal Entries'!$J$5:$J$184,'[1]Journal Entries'!$E$5:$E$184,630000,'[1]Journal Entries'!$G$5:$G$184,$A10,'[1]Journal Entries'!$C$5:$C$184,"May")+SUMIFS('[1]Journal Entries'!$I$5:$I$184,'[1]Journal Entries'!$E$5:$E$184,640000,'[1]Journal Entries'!$G$5:$G$184,$A10,'[1]Journal Entries'!$C$5:$C$184,"May")-SUMIFS('[1]Journal Entries'!$J$5:$J$184,'[1]Journal Entries'!$E$5:$E$184,640000,'[1]Journal Entries'!$G$5:$G$184,$A10,'[1]Journal Entries'!$C$5:$C$184,"May")+SUMIFS('[1]Journal Entries'!$I$5:$I$184,'[1]Journal Entries'!$E$5:$E$184,650000,'[1]Journal Entries'!$G$5:$G$184,$A10,'[1]Journal Entries'!$C$5:$C$184,"May")-SUMIFS('[1]Journal Entries'!$J$5:$J$184,'[1]Journal Entries'!$E$5:$E$184,650000,'[1]Journal Entries'!$G$5:$G$184,$A10,'[1]Journal Entries'!$C$5:$C$184,"May"))</f>
        <v>5850</v>
      </c>
      <c r="I10" s="14">
        <f>(SUMIFS('[1]Journal Entries'!$I$5:$I$184,'[1]Journal Entries'!$E$5:$E$184,600000,'[1]Journal Entries'!$G$5:$G$184,$A10,'[1]Journal Entries'!$C$5:$C$184,"Jun")-SUMIFS('[1]Journal Entries'!$J$5:$J$184,'[1]Journal Entries'!$E$5:$E$184,600000,'[1]Journal Entries'!$G$5:$G$184,$A10,'[1]Journal Entries'!$C$5:$C$184,"Jun")+SUMIFS('[1]Journal Entries'!$I$5:$I$184,'[1]Journal Entries'!$E$5:$E$184,610000,'[1]Journal Entries'!$G$5:$G$184,$A10,'[1]Journal Entries'!$C$5:$C$184,"Jun")-SUMIFS('[1]Journal Entries'!$J$5:$J$184,'[1]Journal Entries'!$E$5:$E$184,610000,'[1]Journal Entries'!$G$5:$G$184,$A10,'[1]Journal Entries'!$C$5:$C$184,"Jun")+SUMIFS('[1]Journal Entries'!$I$5:$I$184,'[1]Journal Entries'!$E$5:$E$184,620000,'[1]Journal Entries'!$G$5:$G$184,$A10,'[1]Journal Entries'!$C$5:$C$184,"Jun")-SUMIFS('[1]Journal Entries'!$J$5:$J$184,'[1]Journal Entries'!$E$5:$E$184,620000,'[1]Journal Entries'!$G$5:$G$184,$A10,'[1]Journal Entries'!$C$5:$C$184,"Jun")+SUMIFS('[1]Journal Entries'!$I$5:$I$184,'[1]Journal Entries'!$E$5:$E$184,630000,'[1]Journal Entries'!$G$5:$G$184,$A10,'[1]Journal Entries'!$C$5:$C$184,"Jun")-SUMIFS('[1]Journal Entries'!$J$5:$J$184,'[1]Journal Entries'!$E$5:$E$184,630000,'[1]Journal Entries'!$G$5:$G$184,$A10,'[1]Journal Entries'!$C$5:$C$184,"Jun")+SUMIFS('[1]Journal Entries'!$I$5:$I$184,'[1]Journal Entries'!$E$5:$E$184,640000,'[1]Journal Entries'!$G$5:$G$184,$A10,'[1]Journal Entries'!$C$5:$C$184,"Jun")-SUMIFS('[1]Journal Entries'!$J$5:$J$184,'[1]Journal Entries'!$E$5:$E$184,640000,'[1]Journal Entries'!$G$5:$G$184,$A10,'[1]Journal Entries'!$C$5:$C$184,"Jun")+SUMIFS('[1]Journal Entries'!$I$5:$I$184,'[1]Journal Entries'!$E$5:$E$184,650000,'[1]Journal Entries'!$G$5:$G$184,$A10,'[1]Journal Entries'!$C$5:$C$184,"Jun")-SUMIFS('[1]Journal Entries'!$J$5:$J$184,'[1]Journal Entries'!$E$5:$E$184,650000,'[1]Journal Entries'!$G$5:$G$184,$A10,'[1]Journal Entries'!$C$5:$C$184,"Jun"))</f>
        <v>5900</v>
      </c>
    </row>
    <row r="11" spans="1:9" x14ac:dyDescent="0.35">
      <c r="A11" s="13" t="s">
        <v>18</v>
      </c>
      <c r="B11" s="13" t="s">
        <v>14</v>
      </c>
      <c r="C11" t="s">
        <v>19</v>
      </c>
      <c r="D11" s="14">
        <f>-1*(SUMIFS('[1]Journal Entries'!$I$5:$I$184,'[1]Journal Entries'!$E$5:$E$184,400000,'[1]Journal Entries'!$G$5:$G$184,$A11,'[1]Journal Entries'!$C$5:$C$184,"Jan")-SUMIFS('[1]Journal Entries'!$J$5:$J$184,'[1]Journal Entries'!$E$5:$E$184,400000,'[1]Journal Entries'!$G$5:$G$184,$A11,'[1]Journal Entries'!$C$5:$C$184,"Jan"))</f>
        <v>0</v>
      </c>
      <c r="E11" s="14">
        <f>-1*(SUMIFS('[1]Journal Entries'!$I$5:$I$184,'[1]Journal Entries'!$E$5:$E$184,400000,'[1]Journal Entries'!$G$5:$G$184,$A11,'[1]Journal Entries'!$C$5:$C$184,"Feb")-SUMIFS('[1]Journal Entries'!$J$5:$J$184,'[1]Journal Entries'!$E$5:$E$184,400000,'[1]Journal Entries'!$G$5:$G$184,$A11,'[1]Journal Entries'!$C$5:$C$184,"Feb"))</f>
        <v>0</v>
      </c>
      <c r="F11" s="14">
        <f>-1*(SUMIFS('[1]Journal Entries'!$I$5:$I$184,'[1]Journal Entries'!$E$5:$E$184,400000,'[1]Journal Entries'!$G$5:$G$184,$A11,'[1]Journal Entries'!$C$5:$C$184,"Mar")-SUMIFS('[1]Journal Entries'!$J$5:$J$184,'[1]Journal Entries'!$E$5:$E$184,400000,'[1]Journal Entries'!$G$5:$G$184,$A11,'[1]Journal Entries'!$C$5:$C$184,"Mar"))</f>
        <v>0</v>
      </c>
      <c r="G11" s="14">
        <f>-1*(SUMIFS('[1]Journal Entries'!$I$5:$I$184,'[1]Journal Entries'!$E$5:$E$184,400000,'[1]Journal Entries'!$G$5:$G$184,$A11,'[1]Journal Entries'!$C$5:$C$184,"Apr")-SUMIFS('[1]Journal Entries'!$J$5:$J$184,'[1]Journal Entries'!$E$5:$E$184,400000,'[1]Journal Entries'!$G$5:$G$184,$A11,'[1]Journal Entries'!$C$5:$C$184,"Apr"))</f>
        <v>0</v>
      </c>
      <c r="H11" s="14">
        <f>-1*(SUMIFS('[1]Journal Entries'!$I$5:$I$184,'[1]Journal Entries'!$E$5:$E$184,400000,'[1]Journal Entries'!$G$5:$G$184,$A11,'[1]Journal Entries'!$C$5:$C$184,"May")-SUMIFS('[1]Journal Entries'!$J$5:$J$184,'[1]Journal Entries'!$E$5:$E$184,400000,'[1]Journal Entries'!$G$5:$G$184,$A11,'[1]Journal Entries'!$C$5:$C$184,"May"))</f>
        <v>0</v>
      </c>
      <c r="I11" s="14">
        <f>-1*(SUMIFS('[1]Journal Entries'!$I$5:$I$184,'[1]Journal Entries'!$E$5:$E$184,400000,'[1]Journal Entries'!$G$5:$G$184,$A11,'[1]Journal Entries'!$C$5:$C$184,"Jun")-SUMIFS('[1]Journal Entries'!$J$5:$J$184,'[1]Journal Entries'!$E$5:$E$184,400000,'[1]Journal Entries'!$G$5:$G$184,$A11,'[1]Journal Entries'!$C$5:$C$184,"Jun"))</f>
        <v>0</v>
      </c>
    </row>
    <row r="12" spans="1:9" x14ac:dyDescent="0.35">
      <c r="A12" s="13" t="s">
        <v>18</v>
      </c>
      <c r="B12" s="13" t="s">
        <v>15</v>
      </c>
      <c r="C12" t="s">
        <v>19</v>
      </c>
      <c r="D12" s="14"/>
      <c r="E12" s="14"/>
      <c r="F12" s="14"/>
      <c r="G12" s="14"/>
      <c r="H12" s="14"/>
      <c r="I12" s="14"/>
    </row>
    <row r="13" spans="1:9" x14ac:dyDescent="0.35">
      <c r="A13" s="13" t="s">
        <v>18</v>
      </c>
      <c r="B13" s="13" t="s">
        <v>16</v>
      </c>
      <c r="C13" t="s">
        <v>19</v>
      </c>
      <c r="D13" s="14">
        <f>(SUMIFS('[1]Journal Entries'!$I$5:$I$184,'[1]Journal Entries'!$E$5:$E$184,600000,'[1]Journal Entries'!$G$5:$G$184,$A13,'[1]Journal Entries'!$C$5:$C$184,"Jan")-SUMIFS('[1]Journal Entries'!$J$5:$J$184,'[1]Journal Entries'!$E$5:$E$184,600000,'[1]Journal Entries'!$G$5:$G$184,$A13,'[1]Journal Entries'!$C$5:$C$184,"Jan")+SUMIFS('[1]Journal Entries'!$I$5:$I$184,'[1]Journal Entries'!$E$5:$E$184,610000,'[1]Journal Entries'!$G$5:$G$184,$A13,'[1]Journal Entries'!$C$5:$C$184,"Jan")-SUMIFS('[1]Journal Entries'!$J$5:$J$184,'[1]Journal Entries'!$E$5:$E$184,610000,'[1]Journal Entries'!$G$5:$G$184,$A13,'[1]Journal Entries'!$C$5:$C$184,"Jan")+SUMIFS('[1]Journal Entries'!$I$5:$I$184,'[1]Journal Entries'!$E$5:$E$184,620000,'[1]Journal Entries'!$G$5:$G$184,$A13,'[1]Journal Entries'!$C$5:$C$184,"Jan")-SUMIFS('[1]Journal Entries'!$J$5:$J$184,'[1]Journal Entries'!$E$5:$E$184,620000,'[1]Journal Entries'!$G$5:$G$184,$A13,'[1]Journal Entries'!$C$5:$C$184,"Jan")+SUMIFS('[1]Journal Entries'!$I$5:$I$184,'[1]Journal Entries'!$E$5:$E$184,630000,'[1]Journal Entries'!$G$5:$G$184,$A13,'[1]Journal Entries'!$C$5:$C$184,"Jan")-SUMIFS('[1]Journal Entries'!$J$5:$J$184,'[1]Journal Entries'!$E$5:$E$184,630000,'[1]Journal Entries'!$G$5:$G$184,$A13,'[1]Journal Entries'!$C$5:$C$184,"Jan")+SUMIFS('[1]Journal Entries'!$I$5:$I$184,'[1]Journal Entries'!$E$5:$E$184,640000,'[1]Journal Entries'!$G$5:$G$184,$A13,'[1]Journal Entries'!$C$5:$C$184,"Jan")-SUMIFS('[1]Journal Entries'!$J$5:$J$184,'[1]Journal Entries'!$E$5:$E$184,640000,'[1]Journal Entries'!$G$5:$G$184,$A13,'[1]Journal Entries'!$C$5:$C$184,"Jan")+SUMIFS('[1]Journal Entries'!$I$5:$I$184,'[1]Journal Entries'!$E$5:$E$184,650000,'[1]Journal Entries'!$G$5:$G$184,$A13,'[1]Journal Entries'!$C$5:$C$184,"Jan")-SUMIFS('[1]Journal Entries'!$J$5:$J$184,'[1]Journal Entries'!$E$5:$E$184,650000,'[1]Journal Entries'!$G$5:$G$184,$A13,'[1]Journal Entries'!$C$5:$C$184,"Jan"))</f>
        <v>8050</v>
      </c>
      <c r="E13" s="14">
        <f>(SUMIFS('[1]Journal Entries'!$I$5:$I$184,'[1]Journal Entries'!$E$5:$E$184,600000,'[1]Journal Entries'!$G$5:$G$184,$A13,'[1]Journal Entries'!$C$5:$C$184,"Feb")-SUMIFS('[1]Journal Entries'!$J$5:$J$184,'[1]Journal Entries'!$E$5:$E$184,600000,'[1]Journal Entries'!$G$5:$G$184,$A13,'[1]Journal Entries'!$C$5:$C$184,"Feb")+SUMIFS('[1]Journal Entries'!$I$5:$I$184,'[1]Journal Entries'!$E$5:$E$184,610000,'[1]Journal Entries'!$G$5:$G$184,$A13,'[1]Journal Entries'!$C$5:$C$184,"Feb")-SUMIFS('[1]Journal Entries'!$J$5:$J$184,'[1]Journal Entries'!$E$5:$E$184,610000,'[1]Journal Entries'!$G$5:$G$184,$A13,'[1]Journal Entries'!$C$5:$C$184,"Feb")+SUMIFS('[1]Journal Entries'!$I$5:$I$184,'[1]Journal Entries'!$E$5:$E$184,620000,'[1]Journal Entries'!$G$5:$G$184,$A13,'[1]Journal Entries'!$C$5:$C$184,"Feb")-SUMIFS('[1]Journal Entries'!$J$5:$J$184,'[1]Journal Entries'!$E$5:$E$184,620000,'[1]Journal Entries'!$G$5:$G$184,$A13,'[1]Journal Entries'!$C$5:$C$184,"Feb")+SUMIFS('[1]Journal Entries'!$I$5:$I$184,'[1]Journal Entries'!$E$5:$E$184,630000,'[1]Journal Entries'!$G$5:$G$184,$A13,'[1]Journal Entries'!$C$5:$C$184,"Feb")-SUMIFS('[1]Journal Entries'!$J$5:$J$184,'[1]Journal Entries'!$E$5:$E$184,630000,'[1]Journal Entries'!$G$5:$G$184,$A13,'[1]Journal Entries'!$C$5:$C$184,"Feb")+SUMIFS('[1]Journal Entries'!$I$5:$I$184,'[1]Journal Entries'!$E$5:$E$184,640000,'[1]Journal Entries'!$G$5:$G$184,$A13,'[1]Journal Entries'!$C$5:$C$184,"Feb")-SUMIFS('[1]Journal Entries'!$J$5:$J$184,'[1]Journal Entries'!$E$5:$E$184,640000,'[1]Journal Entries'!$G$5:$G$184,$A13,'[1]Journal Entries'!$C$5:$C$184,"Feb")+SUMIFS('[1]Journal Entries'!$I$5:$I$184,'[1]Journal Entries'!$E$5:$E$184,650000,'[1]Journal Entries'!$G$5:$G$184,$A13,'[1]Journal Entries'!$C$5:$C$184,"Feb")-SUMIFS('[1]Journal Entries'!$J$5:$J$184,'[1]Journal Entries'!$E$5:$E$184,650000,'[1]Journal Entries'!$G$5:$G$184,$A13,'[1]Journal Entries'!$C$5:$C$184,"Feb"))</f>
        <v>8100</v>
      </c>
      <c r="F13" s="14">
        <f>(SUMIFS('[1]Journal Entries'!$I$5:$I$184,'[1]Journal Entries'!$E$5:$E$184,600000,'[1]Journal Entries'!$G$5:$G$184,$A13,'[1]Journal Entries'!$C$5:$C$184,"Mar")-SUMIFS('[1]Journal Entries'!$J$5:$J$184,'[1]Journal Entries'!$E$5:$E$184,600000,'[1]Journal Entries'!$G$5:$G$184,$A13,'[1]Journal Entries'!$C$5:$C$184,"Mar")+SUMIFS('[1]Journal Entries'!$I$5:$I$184,'[1]Journal Entries'!$E$5:$E$184,610000,'[1]Journal Entries'!$G$5:$G$184,$A13,'[1]Journal Entries'!$C$5:$C$184,"Mar")-SUMIFS('[1]Journal Entries'!$J$5:$J$184,'[1]Journal Entries'!$E$5:$E$184,610000,'[1]Journal Entries'!$G$5:$G$184,$A13,'[1]Journal Entries'!$C$5:$C$184,"Mar")+SUMIFS('[1]Journal Entries'!$I$5:$I$184,'[1]Journal Entries'!$E$5:$E$184,620000,'[1]Journal Entries'!$G$5:$G$184,$A13,'[1]Journal Entries'!$C$5:$C$184,"Mar")-SUMIFS('[1]Journal Entries'!$J$5:$J$184,'[1]Journal Entries'!$E$5:$E$184,620000,'[1]Journal Entries'!$G$5:$G$184,$A13,'[1]Journal Entries'!$C$5:$C$184,"Mar")+SUMIFS('[1]Journal Entries'!$I$5:$I$184,'[1]Journal Entries'!$E$5:$E$184,630000,'[1]Journal Entries'!$G$5:$G$184,$A13,'[1]Journal Entries'!$C$5:$C$184,"Mar")-SUMIFS('[1]Journal Entries'!$J$5:$J$184,'[1]Journal Entries'!$E$5:$E$184,630000,'[1]Journal Entries'!$G$5:$G$184,$A13,'[1]Journal Entries'!$C$5:$C$184,"Mar")+SUMIFS('[1]Journal Entries'!$I$5:$I$184,'[1]Journal Entries'!$E$5:$E$184,640000,'[1]Journal Entries'!$G$5:$G$184,$A13,'[1]Journal Entries'!$C$5:$C$184,"Mar")-SUMIFS('[1]Journal Entries'!$J$5:$J$184,'[1]Journal Entries'!$E$5:$E$184,640000,'[1]Journal Entries'!$G$5:$G$184,$A13,'[1]Journal Entries'!$C$5:$C$184,"Mar")+SUMIFS('[1]Journal Entries'!$I$5:$I$184,'[1]Journal Entries'!$E$5:$E$184,650000,'[1]Journal Entries'!$G$5:$G$184,$A13,'[1]Journal Entries'!$C$5:$C$184,"Mar")-SUMIFS('[1]Journal Entries'!$J$5:$J$184,'[1]Journal Entries'!$E$5:$E$184,650000,'[1]Journal Entries'!$G$5:$G$184,$A13,'[1]Journal Entries'!$C$5:$C$184,"Mar"))</f>
        <v>8180</v>
      </c>
      <c r="G13" s="14">
        <f>(SUMIFS('[1]Journal Entries'!$I$5:$I$184,'[1]Journal Entries'!$E$5:$E$184,600000,'[1]Journal Entries'!$G$5:$G$184,$A13,'[1]Journal Entries'!$C$5:$C$184,"Apr")-SUMIFS('[1]Journal Entries'!$J$5:$J$184,'[1]Journal Entries'!$E$5:$E$184,600000,'[1]Journal Entries'!$G$5:$G$184,$A13,'[1]Journal Entries'!$C$5:$C$184,"Apr")+SUMIFS('[1]Journal Entries'!$I$5:$I$184,'[1]Journal Entries'!$E$5:$E$184,610000,'[1]Journal Entries'!$G$5:$G$184,$A13,'[1]Journal Entries'!$C$5:$C$184,"Apr")-SUMIFS('[1]Journal Entries'!$J$5:$J$184,'[1]Journal Entries'!$E$5:$E$184,610000,'[1]Journal Entries'!$G$5:$G$184,$A13,'[1]Journal Entries'!$C$5:$C$184,"Apr")+SUMIFS('[1]Journal Entries'!$I$5:$I$184,'[1]Journal Entries'!$E$5:$E$184,620000,'[1]Journal Entries'!$G$5:$G$184,$A13,'[1]Journal Entries'!$C$5:$C$184,"Apr")-SUMIFS('[1]Journal Entries'!$J$5:$J$184,'[1]Journal Entries'!$E$5:$E$184,620000,'[1]Journal Entries'!$G$5:$G$184,$A13,'[1]Journal Entries'!$C$5:$C$184,"Apr")+SUMIFS('[1]Journal Entries'!$I$5:$I$184,'[1]Journal Entries'!$E$5:$E$184,630000,'[1]Journal Entries'!$G$5:$G$184,$A13,'[1]Journal Entries'!$C$5:$C$184,"Apr")-SUMIFS('[1]Journal Entries'!$J$5:$J$184,'[1]Journal Entries'!$E$5:$E$184,630000,'[1]Journal Entries'!$G$5:$G$184,$A13,'[1]Journal Entries'!$C$5:$C$184,"Apr")+SUMIFS('[1]Journal Entries'!$I$5:$I$184,'[1]Journal Entries'!$E$5:$E$184,640000,'[1]Journal Entries'!$G$5:$G$184,$A13,'[1]Journal Entries'!$C$5:$C$184,"Apr")-SUMIFS('[1]Journal Entries'!$J$5:$J$184,'[1]Journal Entries'!$E$5:$E$184,640000,'[1]Journal Entries'!$G$5:$G$184,$A13,'[1]Journal Entries'!$C$5:$C$184,"Apr")+SUMIFS('[1]Journal Entries'!$I$5:$I$184,'[1]Journal Entries'!$E$5:$E$184,650000,'[1]Journal Entries'!$G$5:$G$184,$A13,'[1]Journal Entries'!$C$5:$C$184,"Apr")-SUMIFS('[1]Journal Entries'!$J$5:$J$184,'[1]Journal Entries'!$E$5:$E$184,650000,'[1]Journal Entries'!$G$5:$G$184,$A13,'[1]Journal Entries'!$C$5:$C$184,"Apr"))</f>
        <v>8120</v>
      </c>
      <c r="H13" s="14">
        <f>(SUMIFS('[1]Journal Entries'!$I$5:$I$184,'[1]Journal Entries'!$E$5:$E$184,600000,'[1]Journal Entries'!$G$5:$G$184,$A13,'[1]Journal Entries'!$C$5:$C$184,"May")-SUMIFS('[1]Journal Entries'!$J$5:$J$184,'[1]Journal Entries'!$E$5:$E$184,600000,'[1]Journal Entries'!$G$5:$G$184,$A13,'[1]Journal Entries'!$C$5:$C$184,"May")+SUMIFS('[1]Journal Entries'!$I$5:$I$184,'[1]Journal Entries'!$E$5:$E$184,610000,'[1]Journal Entries'!$G$5:$G$184,$A13,'[1]Journal Entries'!$C$5:$C$184,"May")-SUMIFS('[1]Journal Entries'!$J$5:$J$184,'[1]Journal Entries'!$E$5:$E$184,610000,'[1]Journal Entries'!$G$5:$G$184,$A13,'[1]Journal Entries'!$C$5:$C$184,"May")+SUMIFS('[1]Journal Entries'!$I$5:$I$184,'[1]Journal Entries'!$E$5:$E$184,620000,'[1]Journal Entries'!$G$5:$G$184,$A13,'[1]Journal Entries'!$C$5:$C$184,"May")-SUMIFS('[1]Journal Entries'!$J$5:$J$184,'[1]Journal Entries'!$E$5:$E$184,620000,'[1]Journal Entries'!$G$5:$G$184,$A13,'[1]Journal Entries'!$C$5:$C$184,"May")+SUMIFS('[1]Journal Entries'!$I$5:$I$184,'[1]Journal Entries'!$E$5:$E$184,630000,'[1]Journal Entries'!$G$5:$G$184,$A13,'[1]Journal Entries'!$C$5:$C$184,"May")-SUMIFS('[1]Journal Entries'!$J$5:$J$184,'[1]Journal Entries'!$E$5:$E$184,630000,'[1]Journal Entries'!$G$5:$G$184,$A13,'[1]Journal Entries'!$C$5:$C$184,"May")+SUMIFS('[1]Journal Entries'!$I$5:$I$184,'[1]Journal Entries'!$E$5:$E$184,640000,'[1]Journal Entries'!$G$5:$G$184,$A13,'[1]Journal Entries'!$C$5:$C$184,"May")-SUMIFS('[1]Journal Entries'!$J$5:$J$184,'[1]Journal Entries'!$E$5:$E$184,640000,'[1]Journal Entries'!$G$5:$G$184,$A13,'[1]Journal Entries'!$C$5:$C$184,"May")+SUMIFS('[1]Journal Entries'!$I$5:$I$184,'[1]Journal Entries'!$E$5:$E$184,650000,'[1]Journal Entries'!$G$5:$G$184,$A13,'[1]Journal Entries'!$C$5:$C$184,"May")-SUMIFS('[1]Journal Entries'!$J$5:$J$184,'[1]Journal Entries'!$E$5:$E$184,650000,'[1]Journal Entries'!$G$5:$G$184,$A13,'[1]Journal Entries'!$C$5:$C$184,"May"))</f>
        <v>8100</v>
      </c>
      <c r="I13" s="14">
        <f>(SUMIFS('[1]Journal Entries'!$I$5:$I$184,'[1]Journal Entries'!$E$5:$E$184,600000,'[1]Journal Entries'!$G$5:$G$184,$A13,'[1]Journal Entries'!$C$5:$C$184,"Jun")-SUMIFS('[1]Journal Entries'!$J$5:$J$184,'[1]Journal Entries'!$E$5:$E$184,600000,'[1]Journal Entries'!$G$5:$G$184,$A13,'[1]Journal Entries'!$C$5:$C$184,"Jun")+SUMIFS('[1]Journal Entries'!$I$5:$I$184,'[1]Journal Entries'!$E$5:$E$184,610000,'[1]Journal Entries'!$G$5:$G$184,$A13,'[1]Journal Entries'!$C$5:$C$184,"Jun")-SUMIFS('[1]Journal Entries'!$J$5:$J$184,'[1]Journal Entries'!$E$5:$E$184,610000,'[1]Journal Entries'!$G$5:$G$184,$A13,'[1]Journal Entries'!$C$5:$C$184,"Jun")+SUMIFS('[1]Journal Entries'!$I$5:$I$184,'[1]Journal Entries'!$E$5:$E$184,620000,'[1]Journal Entries'!$G$5:$G$184,$A13,'[1]Journal Entries'!$C$5:$C$184,"Jun")-SUMIFS('[1]Journal Entries'!$J$5:$J$184,'[1]Journal Entries'!$E$5:$E$184,620000,'[1]Journal Entries'!$G$5:$G$184,$A13,'[1]Journal Entries'!$C$5:$C$184,"Jun")+SUMIFS('[1]Journal Entries'!$I$5:$I$184,'[1]Journal Entries'!$E$5:$E$184,630000,'[1]Journal Entries'!$G$5:$G$184,$A13,'[1]Journal Entries'!$C$5:$C$184,"Jun")-SUMIFS('[1]Journal Entries'!$J$5:$J$184,'[1]Journal Entries'!$E$5:$E$184,630000,'[1]Journal Entries'!$G$5:$G$184,$A13,'[1]Journal Entries'!$C$5:$C$184,"Jun")+SUMIFS('[1]Journal Entries'!$I$5:$I$184,'[1]Journal Entries'!$E$5:$E$184,640000,'[1]Journal Entries'!$G$5:$G$184,$A13,'[1]Journal Entries'!$C$5:$C$184,"Jun")-SUMIFS('[1]Journal Entries'!$J$5:$J$184,'[1]Journal Entries'!$E$5:$E$184,640000,'[1]Journal Entries'!$G$5:$G$184,$A13,'[1]Journal Entries'!$C$5:$C$184,"Jun")+SUMIFS('[1]Journal Entries'!$I$5:$I$184,'[1]Journal Entries'!$E$5:$E$184,650000,'[1]Journal Entries'!$G$5:$G$184,$A13,'[1]Journal Entries'!$C$5:$C$184,"Jun")-SUMIFS('[1]Journal Entries'!$J$5:$J$184,'[1]Journal Entries'!$E$5:$E$184,650000,'[1]Journal Entries'!$G$5:$G$184,$A13,'[1]Journal Entries'!$C$5:$C$184,"Jun"))</f>
        <v>8150</v>
      </c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ate xmlns="http://sap.com/sac/excel" zipped="false"><![CDATA[{"stateVersion":122,"document":{"dataSources":{"byId":{"DS1":{"id":"DS1","name":"$[]/Planning:[TENANT_2][][/t.2.Cqugkn1h55bl5dk8gr9q4p8402k/Cqugkn1h55bl5dk8gr9q4p8402k_qs]","olapObjectId":"/t.2.Cqugkn1h55bl5dk8gr9q4p8402k/Cqugkn1h55bl5dk8gr9q4p8402k","modelName":"Mira Trading - Financial Model","description":"Mira Trading - Financial Model","modelId":"Cqugkn1h55bl5dk8gr9q4p8402k","schema":"TENANT_2","package":"","supportsPlanning":true,"supportsUserDefinedMeasures":true}},"allIds":["DS1"]},"queries":{"byId":{"Query1":{"id":"Query1","dataSourceId":"DS1","rows":["CostCenter","Category","Version","Date"],"rowsSettings":{"resultAlignment":"TOP","parentNodesAlignment":"TOP","hasUniversalDisplayHierarchies":false,"zeroSuppression":"ALL_CELLS_ARE_NULL"},"columnsSettings":{"resultAlignment":"TOP","parentNodesAlignment":"TOP","hasUniversalDisplayHierarchies":false,"zeroSuppression":"ALL_CELLS_ARE_NULL"},"columns":["CustomDimension1"],"availables":[{"id":"Category","description":"Categor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false,"supportsCurrencyConversionMembers":false},{"id":"CostCenter","description":"CostCenter","supportsOverrideText":true,"supportsResultVisibility":fals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true,"isStructure":false,"isDateOrTimeDimension":false,"isSecondaryCalculationDimension":false,"isVersionDimension":false,"supportsCurrencyConversionMembers":false,"isInitialDefaultFilterApplied":true},{"id":"Date","description":"Date","supportsOverrideText":true,"supportsResultVisibility":true,"resultVisibility":"HIDDEN","supportsResultSetSorting":true,"resultSetSortingDirection":"DEFAULT_VALUE","hasHierarchies":tru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Version","description":"Version","supportsOverrideText":true,"supportsResultVisibility":false,"resultVisibility":"HIDDEN","supportsResultSetSorting":true,"resultSetSortingDirection":"DEFAULT_VALUE","hasHierarchies":false,"resultSetMemberReadMode":"BOOKED","selectorMemberReadMode":"BOOKED","supportsProperties":true,"isMeasureDimension":false,"hasUnsupportedFilter":false,"supportsDisplayOptions":true,"isNotFilterable":false,"isIdPropertyDisplayed":false,"isDefaultTextPropertyDisplayed":false,"isDisplayHierarchyFixInFilter":false,"isAccountDimension":false,"isStructure":false,"isDateOrTimeDimension":false,"isSecondaryCalculationDimension":false,"isVersionDimension":true,"supportsCurrencyConversionMembers":false},{"id":"CustomDimension1","description":"Measures","supportsOverrideText":true,"supportsResultVisibility":false,"resultVisibility":"HIDDEN","supportsResultSetSorting":true,"resultSetSortingDirection":"DEFAULT_VALUE","hasHierarchies":false,"resultSetMemberReadMode":"BOOKED","selectorMemberReadMode":"BOOKED","supportsProperties":false,"isMeasureDimension":true,"hasUnsupportedFilter":false,"supportsDisplayOptions":true,"isNotFilterable":false,"isIdPropertyDisplayed":false,"isDefaultTextPropertyDisplayed":false,"isDisplayHierarchyFixInFilter":false,"isAccountDimension":false,"isStructure":true,"isDateOrTimeDimension":false,"isSecondaryCalculationDimension":false,"isVersionDimension":false,"supportsCurrencyConversionMembers":true,"isInitialDefaultFilterApplied":true},{"id":"Date.DATE","parentId":"Date","description":"Da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YEAR","parentId":"Date","description":"Yea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CALQUARTER","parentId":"Date","description":"Calendar Quart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CALWEEK","parentId":"Date","description":"Calendar Week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DATE2","parentId":"Date","description":"Extended Dat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YEARDESC","parentId":"Date","description":"Year Description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HALFYEARDESC","parentId":"Date","description":"Half-Yea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QUARTERDESC","parentId":"Date","description":"Quarter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MONTHDESC","parentId":"Date","description":"Month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WEEK","parentId":"Date","description":"Week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DAY","parentId":"Date","description":"Da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MONTHDAYDESC","parentId":"Date","description":"Extended Day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Date.DAYNAME","parentId":"Date","description":"Day Nam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true,"isSecondaryCalculationDimension":false,"isVersionDimension":false,"supportsCurrencyConversionMembers":false},{"id":"CostCenter.accType","parentId":"CostCenter","description":"Account Type","supportsOverrideText":true,"supportsResultVisibility":true,"resultVisibility":"HIDDEN","supportsResultSetSorting":true,"resultSetSortingDirection":"DEFAULT_VALUE","hasHierarchies":false,"resultSetMemberReadMode":"BOOKED","selectorMemberReadMode":"BOOKED","supportsProperties":false,"isMeasureDimension":false,"hasUnsupportedFilter":false,"supportsDisplayOptions":false,"isNotFilterable":false,"isIdPropertyDisplayed":false,"isDefaultTextPropertyDisplayed":false,"isDisplayHierarchyFixInFilter":false,"isAccountDimension":false,"isStructure":false,"isDateOrTimeDimension":false,"isSecondaryCalculationDimension":false,"isVersionDimension":false,"supportsCurrencyConversionMembers":false}],"filteredDimensions":["CostCenter","Version","CustomDimension1"],"createVersionWithTableFilter":false,"origin":"excel-addin","serializedStateFormat":"INA_REPOSITORY_DELTA","serializedState":"{\"CType\":\"QueryModel\",\"CellContextRequests\":{\"CType\":\"CellContextManager\",\"Elements\":[]},\"Cells\":{},\"ConditionsRepo\":{},\"DataSource\":{\"ObjectName\":\"\\/t.2.Cqugkn1h55bl5dk8gr9q4p8402k\\/Cqugkn1h55bl5dk8gr9q4p8402k_qs\",\"SchemaName\":\"TENANT_2\",\"System\":\"fb59437d-55ee-4c75-9f01-cdd0639d0423\",\"Type\":\"Planning\"},\"DimensionsRepo\":{\"CType\":\"Dimensions\",\"Elements\":[{\"Axis\":\"Rows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parentId\",\"Name\":\"parentId\"},\"MembersRepo\":[],\"Name\":\"CostCenter\",\"ResultSetFields\":[{\"Name\":\"[CostCenter].key\"}],\"SelectorReadMode\":\"Booked\",\"TotalsModified\":true},{\"Axis\":\"Rows\",\"CType\":\"Dimension\",\"ComponentTags\":[{\"KEY\":\"dimensionInitialized\",\"VALUE\":\"true\"}],\"FieldLayoutType\":\"FieldBased\",\"FieldSettings\":[],\"Name\":\"Category\",\"ResultSetFields\":[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Rows\",\"CType\":\"Dimension\",\"ComponentTags\":[{\"KEY\":\"dimensionInitialized\",\"VALUE\":\"true\"}],\"FieldLayoutType\":\"FieldBased\",\"FieldSettings\":[],\"Name\":\"Version\",\"ResultSetFields\":[],\"TotalsModified\":true},{\"Axis\":\"Rows\",\"CType\":\"Dimension\",\"ComponentTags\":[{\"KEY\":\"dimensionInitialized\",\"VALUE\":\"true\"}],\"FieldLayoutType\":\"FieldBased\",\"FieldSettings\":[],\"HierarchyRepo\":{\"CType\":\"Hierarchy\",\"ComponentTags\":[{\"KEY\":\"dimensionInitialized\",\"VALUE\":\"true\"}],\"ExpandBottomUp\":false,\"HierarchyActive\":true,\"HierarchyName\":\"YQM\",\"Name\":\"YQM\"},\"Name\":\"Date\",\"ResultSetFields\":[{\"Name\":\"[Date].key\"}],\"ResultStructureRepo\":{\"CType\":\"Totals\",\"ComponentTags\":[{\"KEY\":\"dimensionInitialized\",\"VALUE\":\"true\"}]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Columns\",\"CType\":\"Dimension\",\"ComponentTags\":[{\"KEY\":\"dimensionInitialized\",\"VALUE\":\"true\"}],\"FieldLayoutType\":\"FieldBased\",\"FieldSettings\":[],\"MembersRepo\":[],\"Name\":\"CustomDimension1\",\"OrderedStructureMemberNames\":[\"Amount\"],\"ResultSetFields\":[],\"TotalsModified\":true},{\"Axis\":\"None\",\"CType\":\"Dimension\",\"FieldLayoutType\":\"FieldBased\",\"FieldSettings\":[],\"Name\":\"CostCenter.ID\",\"ResultSetFields\":[{\"Name\":\"[CostCenter.ID].[CostCenter.ID]\"},{\"Name\":\"[CostCenter.ID].[CostCenter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CALMONTH\",\"ResultSetFields\":[{\"Name\":\"[Date.CALMONTH].[Date.CALMONTH]\"},{\"Name\":\"[Date.CALMONTH].[Date.MONTH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Version.ID\",\"ResultSetFields\":[{\"Name\":\"[Version.ID].[Version.ID]\"},{\"Name\":\"[Version.ID].[Version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Version.VERSION\",\"ResultSetFields\":[{\"Name\":\"[Version.VERSION].[Version.VERS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Version.USER\",\"ResultSetFields\":[{\"Name\":\"[Version.USER].[Version.USER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Version.TYPE\",\"ResultSetFields\":[{\"Name\":\"[Version.TYPE].[Version.TYP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Version.SOURCE_VERSION\",\"ResultSetFields\":[{\"Name\":\"[Version.SOURCE_VERSION].[Version.SOURCE_VERS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Version.CATEGORY\",\"ResultSetFields\":[{\"Name\":\"[Version.CATEGORY].[Version.CATEGOR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Version.Description\",\"ResultSetFields\":[{\"Name\":\"[Version.Description].[Version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DATE\",\"ResultSetFields\":[{\"Name\":\"[Date.DATE].[Date.DATE]\"},{\"Name\":\"[Date.DATE].[Date.DA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YEAR\",\"ResultSetFields\":[{\"Name\":\"[Date.YEAR].[Date.YEAR]\"},{\"Name\":\"[Date.YEAR].[Date.YEA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CALQUARTER\",\"ResultSetFields\":[{\"Name\":\"[Date.CALQUARTER].[Date.CALQUARTER]\"},{\"Name\":\"[Date.CALQUARTER].[Date.QUARTE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CALWEEK\",\"ResultSetFields\":[{\"Name\":\"[Date.CALWEEK].[Date.CALWEEK]\"},{\"Name\":\"[Date.CALWEEK].[Date.WEEK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DATE2\",\"ResultSetFields\":[{\"Name\":\"[Date.DATE2].[Date.DATE2]\"},{\"Name\":\"[Date.DATE2].[Date.MONTHDAY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YEARDESC\",\"ResultSetFields\":[{\"Name\":\"[Date.YEARDESC].[Date.YEA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HALFYEARDESC\",\"ResultSetFields\":[{\"Name\":\"[Date.HALFYEARDESC].[Date.HALFYEA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QUARTERDESC\",\"ResultSetFields\":[{\"Name\":\"[Date.QUARTERDESC].[Date.QUARTER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MONTHDESC\",\"ResultSetFields\":[{\"Name\":\"[Date.MONTHDESC].[Date.MONTH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WEEK\",\"ResultSetFields\":[{\"Name\":\"[Date.WEEK].[Date.WEEK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DAY\",\"ResultSetFields\":[{\"Name\":\"[Date.DAY].[Date.DAY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MONTHDAYDESC\",\"ResultSetFields\":[{\"Name\":\"[Date.MONTHDAYDESC].[Date.MONTHDAYDESC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Date.DAYNAME\",\"ResultSetFields\":[{\"Name\":\"[Date.DAYNAME].[Date.DAYNAM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CostCenter.accType\",\"ResultSetFields\":[{\"Name\":\"[CostCenter.accType].[CostCenter.accType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CostCenter.Description\",\"ResultSetFields\":[{\"Name\":\"[CostCenter.Description].[CostCenter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Category.ID\",\"ResultSetFields\":[{\"Name\":\"[Category.ID].[Category.ID]\"},{\"Name\":\"[Category.ID].[Category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Category.Description\",\"ResultSetFields\":[{\"Name\":\"[Category.Description].[Category.Description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,{\"Axis\":\"None\",\"CType\":\"Dimension\",\"FieldLayoutType\":\"FieldBased\",\"FieldSettings\":[],\"Name\":\"$$Version$$\",\"ResultSetFields\":[{\"Name\":\"[$$Version$$].[$$Version$$]\"}],\"ResultStructureRepo\":{\"CType\":\"Totals\",\"ResultAlignment\":\"Default\",\"Visibility\":\"Hidden\",\"VisibilitySettings\":[{\"Result\":\"Total\",\"ResultAlignment\":\"Top\",\"Visibility\":\"Hidden\"},{\"Result\":\"TotalIncludedMembers\",\"ResultAlignment\":\"Top\",\"Visibility\":\"Hidden\"},{\"Result\":\"TotalRemainingMembers\",\"ResultAlignment\":\"Top\",\"Visibility\":\"Hidden\"},{\"Result\":\"Total\",\"ResultAlignment\":\"Bottom\",\"Visibility\":\"Hidden\"},{\"Result\":\"TotalIncludedMembers\",\"ResultAlignment\":\"Bottom\",\"Visibility\":\"Hidden\"},{\"Result\":\"TotalRemainingMembers\",\"ResultAlignment\":\"Bottom\",\"Visibility\":\"Hidden\"},{\"Result\":\"Members\",\"ResultAlignment\":\"Top\",\"Visibility\":\"Visible\"},{\"Result\":\"Members\",\"ResultAlignment\":\"Bottom\",\"Visibility\":\"Visible\"}]},\"TotalsModified\":true}]},\"ExceptionsRepo\":{},\"ExperimentalFeatures\":\"Olap.AgileBI.CustomDimension2,Olap.AutoVariableSubmitCapability,Olap.AutoVariableSubmitFunctionality,Olap.CDSProjectionViews,Olap.CalculateWithNullCellsUnitType,Olap.CellDocumentId,Olap.ClientInfoContextId,Olap.ClientInfoMetadata,Olap.CorrectDimensionDescription,Olap.CustomDimension2MemberMetadata,Olap.DataCellContexts,Olap.DeltaRepoFormat,Olap.DevelopmentModePlanning,Olap.DimensionDisplayGroups,Olap.DimensionKeyAttributes,Olap.ErrorAboveLevel,Olap.ExceptionThresholdNoPrec,Olap.FilterAcrossModelsLovCache,Olap.HierarchyInfoInFilter,Olap.HierarchyPathPresentationType,Olap.IbpDisplayAttributes,Olap.IbpFilterCapabilityExtended,Olap.ImprovedDynamicVariableUpdate,Olap.InAModel.CustomDimension2,Olap.InAModelExternalDimension,Olap.InAShiftPeriodForTransientTimeOperations,Olap.InputEnablementFilterSettings,Olap.InputReadinessFilter,Olap.InputReadinessWithNavigationalAttributes,Olap.IteratedFormula,Olap.LazyLoadingSFXAccountMembers,Olap.LovBasedFilterAcrossModels,Olap.MaintainsVariableVariants,Olap.MaxDrillLevel,Olap.MdsDisplayAttributes,Olap.MeasureMemberUnitTranslations,Olap.MemberManagerMasterReadmode,Olap.MemberOverrideTexts,Olap.MemberUniqueNamesCompatibility,Olap.MetadataHasExternalHierarchies,Olap.MetadataVariablesVisibility,Olap.MixedDisplayKey,Olap.MultipleAccountHierarchies,Olap.NamedCustomDimensionMember,Olap.NullZeroSuppression,Olap.Olap.DimensionHierarchyMetadata,Olap.Olap.ResultSetNumericValueWithInternalPrecision,Olap.PerformanceAnalysis,Olap.PersistPagingInRepo,Olap.PlanningBatch,Olap.RRI2,Olap.ReturnedDataSelectionSwitchOffCellExplain,Olap.SemanticObject,Olap.SfxMinimumDrillState,Olap.SimpleVariableExit,Olap.SortAndRankWithDimensionsOnColumn,Olap.SortingDefaults,Olap.StoreHierarchyMemberNamesAsFlat,Olap.SupportMemberSelectStoryCalculations,Olap.SupportStructureOnFreeAxis,Olap.SupportsELTSIDPresentation,Olap.SupportsSIDPresentation,Olap.SuppressSupplements,Olap.TextInHierarchy,Olap.TimeMeasureWithFlatAndHierarchicalFilter,Olap.UnitTranslation,Olap.UnivModelInheritedPropsRaisedPriority,Olap.UniversalDisplayHierarchyAlignment,Olap.VersionValidarionForPrimaryCalculations,Olap.VirtualDataSourceTypeColumns,Olap.enhanceSortAndRankBySecondaryMeasure\",\"FilterRepo\":{\"CType\":\"Filter\",\"DynamicFilter\":{\"CType\":\"FilterExpression\",\"CellValueOperand\":[],\"FilterRoot\":{\"CType\":\"FilterCartesianProduct\",\"Elements\":[{\"CType\":\"FilterCartesianList\",\"ConvertToFlatSelection\":false,\"Elements\":[{\"CType\":\"FilterOperation\",\"Comparison\":\"=\",\"ComponentTags\":[{\"KEY\":\"desc\",\"VALUE\":\"Actual\"}],\"Exactness\":0,\"FieldName\":\"Version.ID\",\"HasDepth\":false,\"HasLevelOffset\":false,\"Id\":\"34251f86-41ba-5c5a-11a1-abb4f036e7b0\",\"IsExcluding\":false,\"Values\":[{\"FieldLiteralValue\":true,\"Value\":\"public.Actual\",\"ValueType\":\"String\"}]}],\"FieldName\":\"Version.ID\",\"Id\":\"dbc3d81e-ab21-e617-8e20-a072c0010086\"},{\"CType\":\"FilterCartesianList\",\"ConvertToFlatSelection\":false,\"Elements\":[{\"CType\":\"FilterOperation\",\"Comparison\":\"=\",\"ComponentTags\":[{\"KEY\":\"desc\",\"VALUE\":\"Amount\"}],\"Exactness\":0,\"FieldName\":\"[Measures].[Measures]\",\"HasDepth\":false,\"HasLevelOffset\":false,\"Id\":\"a5392119-e52c-ba2f-37b0-dd1c655e7516\",\"IsExcluding\":false,\"Values\":[{\"FieldLiteralValue\":true,\"Value\":\"Amount\",\"ValueType\":\"String\"}]}],\"FieldName\":\"[Measures].[Measures]\",\"Id\":\"81ba74fe-4730-b528-336a-b1112d8d7570\"},{\"CType\":\"FilterCartesianList\",\"ConvertToFlatSelection\":false,\"Elements\":[{\"CType\":\"FilterOperation\",\"Comparison\":\"=\",\"Exactness\":0,\"FieldName\":\"[CostCenter].key\",\"HasDepth\":false,\"HasLevelOffset\":false,\"Id\":\"6dba1b74-525b-66c3-9ab8-dfae091eb32c\",\"IsExcluding\":false,\"Values\":[{\"FieldLiteralValue\":true,\"Value\":\"[CostCenter].[parentId].&[CC-100]\",\"ValueType\":\"String\"}]}],\"FieldName\":\"[CostCenter].key\",\"HierarchyName\":\"parentId\",\"Id\":\"608e326a-6226-b605-2370-6b123355e4f9\"}],\"Id\":\"d0dd6830-b7cf-7914-45fe-cb8210a08e85\"},\"Id\":\"0270cc53-61ad-9393-bdcc-ef865ac5f30f\",\"IsSuppressingNulls\":false},\"VisibilityFilter\":{\"CType\":\"FilterExpression\",\"CellValueOperand\":[],\"Id\":\"ecdd1b57-e59f-82be-6966-ef9d98901d3e\",\"IsSuppressingNulls\":false}},\"FormulaExceptionManager\":{\"ActiveStatusModelExceptions\":[],\"CType\":\"FormulaExceptions\",\"FormulaExceptions\":[]},\"HierarchyNavigationsRepo\":{},\"InputEnablementFilter\":{\"Rules\":[{\"Mode\":\"Optimistic\",\"Reason\":\"RELATION::DAC\"},{\"Mode\":\"Optimistic\",\"Reason\":\"RELATION::Val\"}]},\"IsVersionDimensionValidationEnabled\":false,\"PlanningMode\":\"ForcePlanning\",\"Query\":{\"AxesLayout\":[{\"Axis\":\"Free\",\"OrderedDimensionNames\":[\"CostCenter.ID\",\"Date.CALMONTH\",\"Version.ID\",\"Version.VERSION\",\"Version.USER\",\"Version.TYPE\",\"Version.SOURCE_VERSION\",\"Version.CATEGORY\",\"Version.Description\",\"Date.DATE\",\"Date.YEAR\",\"Date.CALQUARTER\",\"Date.CALWEEK\",\"Date.DATE2\",\"Date.YEARDESC\",\"Date.HALFYEARDESC\",\"Date.QUARTERDESC\",\"Date.MONTHDESC\",\"Date.WEEK\",\"Date.DAY\",\"Date.MONTHDAYDESC\",\"Date.DAYNAME\",\"CostCenter.accType\",\"CostCenter.Description\",\"Category.ID\",\"Category.Description\",\"$$Version$$\"]},{\"Axis\":\"Columns\",\"OrderedDimensionNames\":[\"CustomDimension1\"]},{\"Axis\":\"Rows\",\"OrderedDimensionNames\":[\"CostCenter\",\"Category\",\"Version\",\"Date\"]}],\"AxesRepo\":{\"CType\":\"AxesSettings\",\"Elements\":[{\"Axis\":\"Columns\",\"CType\":\"Axis\",\"Layout\":[\"CustomDimension1\"],\"ResultStructureRepo\":{\"CType\":\"Totals\",\"ResultAlignment\":\"Top\",\"Visibility\":\"Default\"},\"Type\":2,\"ZeroSuppressionType\":3},{\"Axis\":\"Rows\",\"CType\":\"Axis\",\"Layout\":[\"CostCenter\",\"Category\",\"Version\",\"Date\"],\"ResultStructureRepo\":{\"CType\":\"Totals\",\"ResultAlignment\":\"Top\",\"Visibility\":\"Default\"},\"Type\":1,\"ZeroSuppressionType\":3}]}},\"QueryDataCellsRepo\":{},\"ResultSetPersistanceIdentifier\":null,\"ResultSetPersistanceSchema\":null,\"ResultSetPersistanceTable\":null,\"ResultStructureRepo\":{\"CType\":\"Totals\",\"ResultAlignment\":\"Default\",\"Visibility\":\"Default\"},\"SortRepo\":{\"CType\":\"Sorting\",\"Elements\":[{\"CType\":\"SortOperation\",\"Collator\":{\"Locale\":null},\"Dimension\":\"Version\",\"Direction\":\"Desc\",\"SortType\":\"MemberKey\"},{\"CType\":\"SortOperation\",\"Collator\":{\"Locale\":null},\"Direction\":\"Asc\",\"FieldName\":\"Version.CATEGORY\",\"SortType\":\"Field\"},{\"CType\":\"SortOperation\",\"Collator\":{\"Locale\":null},\"Direction\":\"Desc\",\"FieldName\":\"Version.TYPE\",\"SortType\":\"Field\"},{\"CType\":\"SortOperation\",\"Collator\":{\"Locale\":null},\"Direction\":\"Asc\",\"FieldName\":\"Version.VERSION\",\"SortType\":\"Field\"}]},\"SubSetDescription\":{\"ColumnFrom\":0,\"ColumnTo\":-1,\"RowFrom\":0,\"RowTo\":-1},\"Variables\":[]}","hasVariables":false,"queryText":null,"formats":{"conditionalFormats":[]},"dimensionFilters":{"byDimensionId":{"CostCenter":[{"id":"[CostCenter].[parentId].&[CC-100]","isExcluded":false,"description":"CC-100"}],"Version":[{"id":"public.Actual","isExcluded":false,"description":"Actual"}],"CustomDimension1":[{"id":"Amount","isExcluded":false,"description":"Amount"}]}},"calculations":{"restrictions":[],"currencyConversions":[],"supportsConstantSelectionDimensions":true},"isPlanningDisabled":false,"leadingStructure":"Measure","inputReadinessFilterMode":"NO_RESTRICTIONS","supportsCurrencyConversion":false,"measureNumberFormatSettings":{"byMeasureId":{},"allMeasures":{},"measureDimensionId":"CustomDimension1","measureDimensionIsAccountDimension":false,"filteredMeasures":[{"id":"Amount","description":"Amount","level":0,"isPercentage":false,"isDate":false,"isTime":false,"appliedScale":1}],"measureDimensionIsInBackgroundFilter":false}}},"allIds":["Query1"]},"crosstabs":{"byId":{"Table1":{"id":"Table1","queryId":"Query1","name":"Table1","isAutofitDisabled":false,"usePerformanceMode":false}},"allIds":["Table1"]},"crosstabsBackup":{"byId":{},"allIds":[]},"connection":{"systemUrl":"https://academy-t-sac.eu10.hcs.cloud.sap","replaceTenantLog":[]},"crosstabFormulas":{"byCrosstabId":{}},"createdAt":"Thu Aug 06 2026","createdBy":"gy7zl7jXPVO0xxXOYYaxesSdpGIe3XnIQkFbBaHiqwo=fhXV0kbnj6pbX7qWnPhlRivlPHO9+0BmH5hDoba8lIA=","documentKey":"9ee79f2b-3b92-4b5f-a7a9-aff39daa170b","planningTriggers":{"byId":{},"allIds":[]},"planningTriggersBackup":{"byId":{},"allIds":[]},"formulaDataSources":{"byId":{},"allIds":[]},"partialRenderingInfos":{"byCrosstabId":{},"allIds":[]},"settings":{"designerViewer":"Enabled"},"documentResourceId":"1C91AB86252A6DB7F66EEA68E751D1AE","hierarchyFormatting":"UNIFORM","origin":"excel-addin","missingNamedRangesLog":[{"event":"documentGuidReceived","documentGuid":"DeDANptc6bm3iBDVULAt3u1mg4SdNqXTp3xOlwv9Rig=","dateTime":"Thu, 06 Aug 2026 10:08:05 GMT"},{"event":"validated","missingNamedRanges":[],"dateTime":"Thu, 06 Aug 2026 10:08:19 GMT"},{"event":"deletedWithoutBackup","deletedCrosstabIds":["Table1"],"allCrosstabIds":["Table1"],"dateTime":"Thu, 06 Aug 2026 10:44:53 GMT"}]}}]]></state>
</file>

<file path=customXml/itemProps1.xml><?xml version="1.0" encoding="utf-8"?>
<ds:datastoreItem xmlns:ds="http://schemas.openxmlformats.org/officeDocument/2006/customXml" ds:itemID="{5BD3D535-EDE8-48E0-B5A8-B924B47522B1}">
  <ds:schemaRefs>
    <ds:schemaRef ds:uri="http://sap.com/sac/exc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SACTable1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mashrura siraj</dc:creator>
  <cp:lastModifiedBy>mashrura siraj</cp:lastModifiedBy>
  <dcterms:created xsi:type="dcterms:W3CDTF">2026-08-06T10:07:47Z</dcterms:created>
  <dcterms:modified xsi:type="dcterms:W3CDTF">2026-08-06T10:49:35Z</dcterms:modified>
</cp:coreProperties>
</file>